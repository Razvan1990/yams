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3040" windowHeight="8448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Care">Sheet3!$F$19:$F$24</definedName>
    <definedName name="Ful">Sheet3!$C$19:$C$48</definedName>
    <definedName name="Jocuri">Sheet3!$B$19:$B$23</definedName>
    <definedName name="myActualList">Sheet4!$A$1</definedName>
    <definedName name="MyList">OFFSET(Sheet4!$E$2,0,0,COUNTIF(Sheet4!$E:$E,"?*"),1)</definedName>
    <definedName name="QuintaMare">Sheet3!$E$19:$E$19</definedName>
    <definedName name="QuintaMica">Sheet3!$D$19:$D$19</definedName>
    <definedName name="Yamms">Sheet3!$G$19:$G$24</definedName>
    <definedName name="zar1">Sheet4!$C$2:$C$45</definedName>
    <definedName name="Zare">Sheet4!$C$1</definedName>
  </definedNames>
  <calcPr calcId="152511"/>
</workbook>
</file>

<file path=xl/calcChain.xml><?xml version="1.0" encoding="utf-8"?>
<calcChain xmlns="http://schemas.openxmlformats.org/spreadsheetml/2006/main">
  <c r="V5" i="1" l="1"/>
  <c r="W5" i="1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19" i="3"/>
  <c r="M5" i="3"/>
  <c r="M12" i="3"/>
  <c r="M13" i="3"/>
  <c r="M14" i="3"/>
  <c r="M15" i="3"/>
  <c r="M16" i="3"/>
  <c r="M17" i="3"/>
  <c r="M11" i="3"/>
  <c r="M21" i="3"/>
  <c r="C13" i="3"/>
  <c r="N34" i="3"/>
  <c r="X5" i="1" l="1"/>
  <c r="T1" i="1" l="1"/>
  <c r="F9" i="1" l="1"/>
  <c r="D9" i="3" l="1"/>
  <c r="B39" i="2"/>
  <c r="B38" i="2"/>
  <c r="B37" i="2"/>
  <c r="B36" i="2"/>
  <c r="B35" i="2"/>
  <c r="B34" i="2"/>
  <c r="B33" i="2"/>
  <c r="B32" i="2"/>
  <c r="G31" i="2"/>
  <c r="B31" i="2"/>
  <c r="G30" i="2"/>
  <c r="B30" i="2"/>
  <c r="G29" i="2"/>
  <c r="B29" i="2"/>
  <c r="G28" i="2"/>
  <c r="B28" i="2"/>
  <c r="G27" i="2"/>
  <c r="B27" i="2"/>
  <c r="G26" i="2"/>
  <c r="B26" i="2"/>
  <c r="B25" i="2"/>
  <c r="B24" i="2"/>
  <c r="B23" i="2"/>
  <c r="B22" i="2"/>
  <c r="B21" i="2"/>
  <c r="B20" i="2"/>
  <c r="B19" i="2"/>
  <c r="B18" i="2"/>
  <c r="B17" i="2"/>
  <c r="B16" i="2"/>
  <c r="N15" i="2"/>
  <c r="B15" i="2"/>
  <c r="N14" i="2"/>
  <c r="B14" i="2"/>
  <c r="N13" i="2"/>
  <c r="B13" i="2"/>
  <c r="B12" i="2"/>
  <c r="B11" i="2"/>
  <c r="B10" i="2"/>
  <c r="M17" i="1"/>
  <c r="L17" i="1"/>
  <c r="K17" i="1"/>
  <c r="J17" i="1"/>
  <c r="I17" i="1"/>
  <c r="H17" i="1"/>
  <c r="G17" i="1"/>
  <c r="F17" i="1"/>
  <c r="E17" i="1"/>
  <c r="D17" i="1"/>
  <c r="C17" i="1"/>
  <c r="A17" i="1"/>
  <c r="M14" i="1"/>
  <c r="A14" i="1"/>
  <c r="M13" i="1"/>
  <c r="A13" i="1"/>
  <c r="M12" i="1"/>
  <c r="A12" i="1"/>
  <c r="M11" i="1"/>
  <c r="A11" i="1"/>
  <c r="M10" i="1"/>
  <c r="A10" i="1"/>
  <c r="L9" i="1"/>
  <c r="K9" i="1"/>
  <c r="J9" i="1"/>
  <c r="I9" i="1"/>
  <c r="H9" i="1"/>
  <c r="G9" i="1"/>
  <c r="E9" i="1"/>
  <c r="D9" i="1"/>
  <c r="C9" i="1"/>
  <c r="S4" i="1"/>
  <c r="R4" i="1"/>
  <c r="N13" i="1" l="1"/>
  <c r="N12" i="1"/>
  <c r="A9" i="1"/>
  <c r="A19" i="1" s="1"/>
  <c r="M9" i="1"/>
  <c r="N14" i="1"/>
  <c r="N11" i="1"/>
  <c r="N10" i="1"/>
  <c r="N9" i="1" l="1"/>
  <c r="M19" i="1"/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 s="1"/>
  <c r="D44" i="4"/>
  <c r="D45" i="4"/>
  <c r="E45" i="4" l="1"/>
  <c r="E44" i="4"/>
  <c r="E43" i="4"/>
  <c r="E41" i="4"/>
  <c r="E42" i="4"/>
  <c r="E40" i="4"/>
  <c r="E38" i="4"/>
  <c r="E39" i="4"/>
  <c r="E36" i="4"/>
  <c r="E35" i="4"/>
  <c r="E34" i="4"/>
  <c r="E37" i="4"/>
  <c r="E33" i="4"/>
  <c r="E32" i="4"/>
  <c r="E31" i="4"/>
  <c r="E28" i="4"/>
  <c r="E26" i="4"/>
  <c r="E29" i="4"/>
  <c r="E27" i="4"/>
  <c r="E30" i="4"/>
  <c r="E23" i="4"/>
  <c r="E24" i="4"/>
  <c r="E22" i="4"/>
  <c r="E25" i="4"/>
  <c r="E21" i="4"/>
  <c r="E20" i="4"/>
  <c r="E19" i="4"/>
  <c r="E18" i="4"/>
  <c r="E17" i="4"/>
  <c r="E16" i="4"/>
  <c r="E15" i="4"/>
  <c r="E12" i="4"/>
  <c r="E13" i="4"/>
  <c r="E11" i="4"/>
  <c r="E10" i="4"/>
  <c r="E14" i="4"/>
  <c r="E9" i="4"/>
  <c r="E7" i="4"/>
  <c r="E8" i="4"/>
  <c r="E6" i="4"/>
  <c r="E4" i="4"/>
  <c r="E3" i="4"/>
  <c r="E2" i="4"/>
  <c r="E5" i="4"/>
</calcChain>
</file>

<file path=xl/sharedStrings.xml><?xml version="1.0" encoding="utf-8"?>
<sst xmlns="http://schemas.openxmlformats.org/spreadsheetml/2006/main" count="207" uniqueCount="92">
  <si>
    <t>ñ</t>
  </si>
  <si>
    <t>ô</t>
  </si>
  <si>
    <t>L</t>
  </si>
  <si>
    <t>S</t>
  </si>
  <si>
    <t>ò</t>
  </si>
  <si>
    <t>T</t>
  </si>
  <si>
    <t>F</t>
  </si>
  <si>
    <t>q</t>
  </si>
  <si>
    <t>Q</t>
  </si>
  <si>
    <t>K</t>
  </si>
  <si>
    <t>Y</t>
  </si>
  <si>
    <t>m</t>
  </si>
  <si>
    <t>M</t>
  </si>
  <si>
    <t>Elena</t>
  </si>
  <si>
    <t>Razvan</t>
  </si>
  <si>
    <t>Pufosica</t>
  </si>
  <si>
    <t>Pufosel</t>
  </si>
  <si>
    <t>x</t>
  </si>
  <si>
    <t>FULL</t>
  </si>
  <si>
    <t>CAREU</t>
  </si>
  <si>
    <t>YAMS</t>
  </si>
  <si>
    <t>ZAR1</t>
  </si>
  <si>
    <t>ZAR2</t>
  </si>
  <si>
    <t>REZULTAT</t>
  </si>
  <si>
    <t>SERVIT</t>
  </si>
  <si>
    <t>ZAR</t>
  </si>
  <si>
    <t>CALCULATOR</t>
  </si>
  <si>
    <t>Legenda</t>
  </si>
  <si>
    <t>Egalitate</t>
  </si>
  <si>
    <t>Diferenta de maxim 25</t>
  </si>
  <si>
    <t>Diferenta de maxim 50</t>
  </si>
  <si>
    <t>Diferenta de maxim 100</t>
  </si>
  <si>
    <t>Factorul castigator</t>
  </si>
  <si>
    <t>DURATA ZAR</t>
  </si>
  <si>
    <t>ZIUA</t>
  </si>
  <si>
    <t>Exemplificator</t>
  </si>
  <si>
    <t>Zaruri aruncate</t>
  </si>
  <si>
    <t>Valoare</t>
  </si>
  <si>
    <t>Jocuri</t>
  </si>
  <si>
    <t>QuintaMica</t>
  </si>
  <si>
    <t>QuintaMare</t>
  </si>
  <si>
    <t>Ful</t>
  </si>
  <si>
    <t>111&amp;&amp;33</t>
  </si>
  <si>
    <t>111&amp;&amp;44</t>
  </si>
  <si>
    <t>111&amp;&amp;55</t>
  </si>
  <si>
    <t>111&amp;&amp;66</t>
  </si>
  <si>
    <t>222&amp;&amp;11</t>
  </si>
  <si>
    <t>222&amp;&amp;33</t>
  </si>
  <si>
    <t>222&amp;&amp;44</t>
  </si>
  <si>
    <t>222&amp;&amp;66</t>
  </si>
  <si>
    <t>111&amp;&amp;22</t>
  </si>
  <si>
    <t>222&amp;&amp;55</t>
  </si>
  <si>
    <t>333&amp;&amp;11</t>
  </si>
  <si>
    <t>333&amp;&amp;22</t>
  </si>
  <si>
    <t>333&amp;&amp;44</t>
  </si>
  <si>
    <t>333&amp;&amp;55</t>
  </si>
  <si>
    <t>333&amp;&amp;66</t>
  </si>
  <si>
    <t>444&amp;&amp;11</t>
  </si>
  <si>
    <t>444&amp;&amp;22</t>
  </si>
  <si>
    <t>444&amp;&amp;33</t>
  </si>
  <si>
    <t>444&amp;&amp;55</t>
  </si>
  <si>
    <t>444&amp;&amp;66</t>
  </si>
  <si>
    <t>555&amp;&amp;11</t>
  </si>
  <si>
    <t>555&amp;&amp;22</t>
  </si>
  <si>
    <t>555&amp;&amp;33</t>
  </si>
  <si>
    <t>555&amp;&amp;44</t>
  </si>
  <si>
    <t>555&amp;&amp;66</t>
  </si>
  <si>
    <t>666&amp;&amp;11</t>
  </si>
  <si>
    <t>666&amp;&amp;22</t>
  </si>
  <si>
    <t>666&amp;&amp;33</t>
  </si>
  <si>
    <t>666&amp;&amp;44</t>
  </si>
  <si>
    <t>666&amp;&amp;55</t>
  </si>
  <si>
    <t>Care</t>
  </si>
  <si>
    <t>Yamms</t>
  </si>
  <si>
    <t>Zare</t>
  </si>
  <si>
    <t>Servit</t>
  </si>
  <si>
    <t>12345</t>
  </si>
  <si>
    <t>23456</t>
  </si>
  <si>
    <t/>
  </si>
  <si>
    <t>1111</t>
  </si>
  <si>
    <t>2222</t>
  </si>
  <si>
    <t>3333</t>
  </si>
  <si>
    <t>4444</t>
  </si>
  <si>
    <t>5555</t>
  </si>
  <si>
    <t>6666</t>
  </si>
  <si>
    <t>11111</t>
  </si>
  <si>
    <t>22222</t>
  </si>
  <si>
    <t>33333</t>
  </si>
  <si>
    <t>44444</t>
  </si>
  <si>
    <t>55555</t>
  </si>
  <si>
    <t>66666</t>
  </si>
  <si>
    <t>Joc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</si>
</sst>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3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5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5" fillId="2" borderId="0" applyNumberFormat="0" applyBorder="0" applyAlignment="0" applyProtection="0"/>
    <xf numFmtId="0" fontId="6" fillId="3" borderId="26" applyNumberFormat="0" applyAlignment="0" applyProtection="0"/>
    <xf numFmtId="0" fontId="7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2" fillId="0" borderId="35" applyNumberFormat="0" applyFill="0" applyAlignment="0" applyProtection="0"/>
    <xf numFmtId="0" fontId="14" fillId="0" borderId="0" applyNumberFormat="0" applyFill="0" applyBorder="0" applyAlignment="0" applyProtection="0"/>
    <xf numFmtId="0" fontId="13" fillId="13" borderId="0" applyNumberFormat="0" applyBorder="0" applyAlignment="0" applyProtection="0"/>
  </cellStyleXfs>
  <cellXfs count="76">
    <xf numFmtId="0" fontId="0" fillId="0" borderId="0" xfId="0"/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4" fillId="0" borderId="0" xfId="0" applyFont="1"/>
    <xf numFmtId="0" fontId="0" fillId="0" borderId="28" xfId="0" applyBorder="1" applyAlignment="1">
      <alignment horizontal="center"/>
    </xf>
    <xf numFmtId="0" fontId="0" fillId="0" borderId="29" xfId="0" applyBorder="1"/>
    <xf numFmtId="0" fontId="6" fillId="3" borderId="31" xfId="2" applyBorder="1"/>
    <xf numFmtId="0" fontId="0" fillId="0" borderId="0" xfId="0" applyAlignment="1"/>
    <xf numFmtId="0" fontId="11" fillId="0" borderId="0" xfId="0" applyFont="1"/>
    <xf numFmtId="164" fontId="0" fillId="12" borderId="0" xfId="0" applyNumberFormat="1" applyFill="1"/>
    <xf numFmtId="22" fontId="0" fillId="0" borderId="0" xfId="0" applyNumberFormat="1"/>
    <xf numFmtId="0" fontId="12" fillId="7" borderId="35" xfId="7" applyFill="1" applyAlignment="1">
      <alignment horizontal="center"/>
    </xf>
    <xf numFmtId="0" fontId="13" fillId="13" borderId="1" xfId="9" applyBorder="1" applyAlignment="1">
      <alignment horizontal="center"/>
    </xf>
    <xf numFmtId="0" fontId="15" fillId="0" borderId="0" xfId="0" applyFont="1"/>
    <xf numFmtId="0" fontId="0" fillId="0" borderId="1" xfId="0" applyBorder="1" applyAlignment="1">
      <alignment horizontal="center"/>
    </xf>
    <xf numFmtId="0" fontId="14" fillId="0" borderId="29" xfId="8" applyBorder="1" applyAlignment="1"/>
    <xf numFmtId="165" fontId="7" fillId="4" borderId="36" xfId="3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5" fillId="2" borderId="32" xfId="1" applyBorder="1" applyAlignment="1">
      <alignment horizontal="center"/>
    </xf>
    <xf numFmtId="0" fontId="5" fillId="2" borderId="33" xfId="1" applyBorder="1" applyAlignment="1">
      <alignment horizontal="center"/>
    </xf>
    <xf numFmtId="0" fontId="5" fillId="2" borderId="21" xfId="1" applyBorder="1" applyAlignment="1">
      <alignment horizontal="center"/>
    </xf>
    <xf numFmtId="0" fontId="10" fillId="5" borderId="0" xfId="5" applyAlignment="1">
      <alignment horizontal="center"/>
    </xf>
    <xf numFmtId="0" fontId="0" fillId="6" borderId="1" xfId="0" applyFill="1" applyBorder="1" applyAlignment="1">
      <alignment horizontal="center"/>
    </xf>
    <xf numFmtId="0" fontId="9" fillId="0" borderId="1" xfId="4" applyBorder="1" applyAlignment="1">
      <alignment horizontal="center"/>
    </xf>
    <xf numFmtId="0" fontId="14" fillId="0" borderId="37" xfId="8" applyBorder="1" applyAlignment="1">
      <alignment horizontal="center"/>
    </xf>
    <xf numFmtId="0" fontId="10" fillId="11" borderId="0" xfId="6" applyAlignment="1">
      <alignment horizontal="center"/>
    </xf>
    <xf numFmtId="0" fontId="0" fillId="10" borderId="1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9" fillId="0" borderId="1" xfId="4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8" fillId="4" borderId="32" xfId="3" applyFont="1" applyBorder="1" applyAlignment="1">
      <alignment horizontal="center"/>
    </xf>
    <xf numFmtId="0" fontId="8" fillId="4" borderId="33" xfId="3" applyFont="1" applyBorder="1" applyAlignment="1">
      <alignment horizontal="center"/>
    </xf>
    <xf numFmtId="0" fontId="8" fillId="4" borderId="21" xfId="3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3" borderId="26" xfId="2" applyBorder="1" applyAlignment="1">
      <alignment horizontal="center"/>
    </xf>
    <xf numFmtId="0" fontId="6" fillId="3" borderId="30" xfId="2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quotePrefix="1"/>
    <xf numFmtId="0" fontId="0" fillId="13" borderId="1" xfId="9" applyFont="1" applyBorder="1" applyAlignment="1">
      <alignment horizontal="center"/>
    </xf>
    <xf numFmtId="0" fontId="0" fillId="0" borderId="0" xfId="0" applyAlignment="1">
      <alignment horizontal="center"/>
    </xf>
  </cellXfs>
  <cellStyles count="10">
    <cellStyle name="40% - Accent3" xfId="9" builtinId="39"/>
    <cellStyle name="60% - Accent5" xfId="3" builtinId="48"/>
    <cellStyle name="Accent4" xfId="6" builtinId="41"/>
    <cellStyle name="Accent5" xfId="5" builtinId="45"/>
    <cellStyle name="Calculation" xfId="2" builtinId="22"/>
    <cellStyle name="Explanatory Text" xfId="4" builtinId="53"/>
    <cellStyle name="Good" xfId="1" builtinId="26"/>
    <cellStyle name="Heading 1" xfId="7" builtinId="16"/>
    <cellStyle name="Normal" xfId="0" builtinId="0"/>
    <cellStyle name="Title" xfId="8" builtinId="15"/>
  </cellStyles>
  <dxfs count="104"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</dxfs>
  <tableStyles count="0" defaultTableStyle="TableStyleMedium2" defaultPivotStyle="PivotStyleMedium9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394447</xdr:colOff>
      <xdr:row>8</xdr:row>
      <xdr:rowOff>107576</xdr:rowOff>
    </xdr:from>
    <xdr:to>
      <xdr:col>19</xdr:col>
      <xdr:colOff>537882</xdr:colOff>
      <xdr:row>13</xdr:row>
      <xdr:rowOff>179294</xdr:rowOff>
    </xdr:to>
    <xdr:sp macro="[0]!yams3" textlink="">
      <xdr:nvSpPr>
        <xdr:cNvPr id="2" name="Heart 1"/>
        <xdr:cNvSpPr/>
      </xdr:nvSpPr>
      <xdr:spPr>
        <a:xfrm>
          <a:off x="8570259" y="3245223"/>
          <a:ext cx="1972235" cy="2178424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Dati dublu click sa</a:t>
          </a:r>
          <a:r>
            <a:rPr lang="en-US" sz="1400" baseline="0"/>
            <a:t> vedeti castigatorul acestui meci</a:t>
          </a:r>
          <a:endParaRPr lang="ro-RO" sz="1400"/>
        </a:p>
      </xdr:txBody>
    </xdr:sp>
    <xdr:clientData/>
  </xdr:twoCellAnchor>
  <xdr:twoCellAnchor editAs="oneCell">
    <xdr:from>
      <xdr:col>20</xdr:col>
      <xdr:colOff>35860</xdr:colOff>
      <xdr:row>9</xdr:row>
      <xdr:rowOff>197225</xdr:rowOff>
    </xdr:from>
    <xdr:to>
      <xdr:col>21</xdr:col>
      <xdr:colOff>478622</xdr:colOff>
      <xdr:row>12</xdr:row>
      <xdr:rowOff>411481</xdr:rowOff>
    </xdr:to>
    <xdr:pic macro="[0]!yams3">
      <xdr:nvPicPr>
        <xdr:cNvPr id="3" name="Picture 2" title="Mai castig si eu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Marke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0072" y="3756213"/>
          <a:ext cx="1973580" cy="1478280"/>
        </a:xfrm>
        <a:prstGeom prst="rect">
          <a:avLst/>
        </a:prstGeom>
      </xdr:spPr>
    </xdr:pic>
    <xdr:clientData/>
  </xdr:twoCellAnchor>
  <xdr:twoCellAnchor>
    <xdr:from>
      <xdr:col>29</xdr:col>
      <xdr:colOff>78441</xdr:colOff>
      <xdr:row>3</xdr:row>
      <xdr:rowOff>78441</xdr:rowOff>
    </xdr:from>
    <xdr:to>
      <xdr:col>29</xdr:col>
      <xdr:colOff>549088</xdr:colOff>
      <xdr:row>5</xdr:row>
      <xdr:rowOff>324971</xdr:rowOff>
    </xdr:to>
    <xdr:sp macro="[0]!FULL" textlink="">
      <xdr:nvSpPr>
        <xdr:cNvPr id="4" name="TextBox 3"/>
        <xdr:cNvSpPr txBox="1"/>
      </xdr:nvSpPr>
      <xdr:spPr>
        <a:xfrm>
          <a:off x="15901147" y="1109382"/>
          <a:ext cx="470647" cy="1075765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7</xdr:row>
      <xdr:rowOff>145676</xdr:rowOff>
    </xdr:from>
    <xdr:to>
      <xdr:col>29</xdr:col>
      <xdr:colOff>560294</xdr:colOff>
      <xdr:row>9</xdr:row>
      <xdr:rowOff>369794</xdr:rowOff>
    </xdr:to>
    <xdr:sp macro="[0]!CAREU1" textlink="">
      <xdr:nvSpPr>
        <xdr:cNvPr id="5" name="TextBox 4"/>
        <xdr:cNvSpPr txBox="1"/>
      </xdr:nvSpPr>
      <xdr:spPr>
        <a:xfrm>
          <a:off x="15912353" y="2835088"/>
          <a:ext cx="470647" cy="1053353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11</xdr:row>
      <xdr:rowOff>123265</xdr:rowOff>
    </xdr:from>
    <xdr:to>
      <xdr:col>29</xdr:col>
      <xdr:colOff>560294</xdr:colOff>
      <xdr:row>13</xdr:row>
      <xdr:rowOff>358588</xdr:rowOff>
    </xdr:to>
    <xdr:sp macro="[0]!Y" textlink="">
      <xdr:nvSpPr>
        <xdr:cNvPr id="6" name="TextBox 5"/>
        <xdr:cNvSpPr txBox="1"/>
      </xdr:nvSpPr>
      <xdr:spPr>
        <a:xfrm>
          <a:off x="15912353" y="4471147"/>
          <a:ext cx="470647" cy="1064559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19</xdr:col>
      <xdr:colOff>107576</xdr:colOff>
      <xdr:row>6</xdr:row>
      <xdr:rowOff>71717</xdr:rowOff>
    </xdr:from>
    <xdr:to>
      <xdr:col>20</xdr:col>
      <xdr:colOff>8965</xdr:colOff>
      <xdr:row>6</xdr:row>
      <xdr:rowOff>367553</xdr:rowOff>
    </xdr:to>
    <xdr:sp macro="[0]!startTimer" textlink="">
      <xdr:nvSpPr>
        <xdr:cNvPr id="7" name="Rounded Rectangle 6"/>
        <xdr:cNvSpPr/>
      </xdr:nvSpPr>
      <xdr:spPr>
        <a:xfrm>
          <a:off x="10013576" y="2366682"/>
          <a:ext cx="510989" cy="29583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  <a:endParaRPr lang="ro-RO" sz="1100"/>
        </a:p>
      </xdr:txBody>
    </xdr:sp>
    <xdr:clientData/>
  </xdr:twoCellAnchor>
  <xdr:oneCellAnchor>
    <xdr:from>
      <xdr:col>20</xdr:col>
      <xdr:colOff>80682</xdr:colOff>
      <xdr:row>6</xdr:row>
      <xdr:rowOff>125506</xdr:rowOff>
    </xdr:from>
    <xdr:ext cx="519953" cy="372136"/>
    <xdr:sp macro="" textlink="">
      <xdr:nvSpPr>
        <xdr:cNvPr id="12" name="TextBox 11"/>
        <xdr:cNvSpPr txBox="1"/>
      </xdr:nvSpPr>
      <xdr:spPr>
        <a:xfrm>
          <a:off x="10596282" y="2420471"/>
          <a:ext cx="519953" cy="3721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o-RO" sz="1100"/>
        </a:p>
      </xdr:txBody>
    </xdr:sp>
    <xdr:clientData/>
  </xdr:oneCellAnchor>
  <xdr:twoCellAnchor>
    <xdr:from>
      <xdr:col>20</xdr:col>
      <xdr:colOff>62753</xdr:colOff>
      <xdr:row>6</xdr:row>
      <xdr:rowOff>89646</xdr:rowOff>
    </xdr:from>
    <xdr:to>
      <xdr:col>20</xdr:col>
      <xdr:colOff>582706</xdr:colOff>
      <xdr:row>6</xdr:row>
      <xdr:rowOff>394446</xdr:rowOff>
    </xdr:to>
    <xdr:sp macro="[0]!StopTimer" textlink="">
      <xdr:nvSpPr>
        <xdr:cNvPr id="13" name="Rounded Rectangle 12"/>
        <xdr:cNvSpPr/>
      </xdr:nvSpPr>
      <xdr:spPr>
        <a:xfrm>
          <a:off x="10578353" y="2384611"/>
          <a:ext cx="519953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STOP</a:t>
          </a:r>
          <a:endParaRPr lang="ro-R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541020</xdr:colOff>
          <xdr:row>2</xdr:row>
          <xdr:rowOff>175260</xdr:rowOff>
        </xdr:from>
        <xdr:to>
          <xdr:col>9</xdr:col>
          <xdr:colOff>7620</xdr:colOff>
          <xdr:row>5</xdr:row>
          <xdr:rowOff>144780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7</xdr:row>
          <xdr:rowOff>137160</xdr:rowOff>
        </xdr:from>
        <xdr:to>
          <xdr:col>9</xdr:col>
          <xdr:colOff>388620</xdr:colOff>
          <xdr:row>12</xdr:row>
          <xdr:rowOff>22860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tabSelected="1" zoomScale="67" zoomScaleNormal="67" workbookViewId="0">
      <selection activeCell="U5" sqref="U5"/>
    </sheetView>
  </sheetViews>
  <sheetFormatPr defaultRowHeight="14.4" x14ac:dyDescent="0.3"/>
  <cols>
    <col min="2" max="12" width="6.6640625" customWidth="1"/>
    <col min="19" max="19" width="15.109375" bestFit="1" customWidth="1"/>
    <col min="21" max="21" width="22.44140625" customWidth="1"/>
    <col min="22" max="22" width="22.88671875" customWidth="1"/>
    <col min="23" max="23" width="22.77734375" customWidth="1"/>
    <col min="24" max="24" width="20.44140625" customWidth="1"/>
    <col min="25" max="25" width="18.6640625" customWidth="1"/>
  </cols>
  <sheetData>
    <row r="1" spans="1:30" ht="20.399999999999999" thickBot="1" x14ac:dyDescent="0.45">
      <c r="B1" s="49" t="s">
        <v>13</v>
      </c>
      <c r="C1" s="49"/>
      <c r="D1" s="49"/>
      <c r="E1" s="49"/>
      <c r="F1" s="49"/>
      <c r="G1" s="49"/>
      <c r="H1" s="49" t="s">
        <v>14</v>
      </c>
      <c r="I1" s="49"/>
      <c r="J1" s="49"/>
      <c r="K1" s="49"/>
      <c r="L1" s="49"/>
      <c r="S1" s="43" t="s">
        <v>34</v>
      </c>
      <c r="T1" s="48">
        <f ca="1" xml:space="preserve"> TODAY()</f>
        <v>44053</v>
      </c>
      <c r="U1" s="48"/>
      <c r="V1" s="48"/>
    </row>
    <row r="2" spans="1:30" ht="33" customHeight="1" thickBot="1" x14ac:dyDescent="0.35">
      <c r="B2" s="2"/>
      <c r="C2" s="3" t="s">
        <v>4</v>
      </c>
      <c r="D2" s="4" t="s">
        <v>0</v>
      </c>
      <c r="E2" s="4" t="s">
        <v>1</v>
      </c>
      <c r="F2" s="5" t="s">
        <v>2</v>
      </c>
      <c r="G2" s="6" t="s">
        <v>3</v>
      </c>
      <c r="H2" s="3" t="s">
        <v>4</v>
      </c>
      <c r="I2" s="4" t="s">
        <v>0</v>
      </c>
      <c r="J2" s="4" t="s">
        <v>1</v>
      </c>
      <c r="K2" s="5" t="s">
        <v>2</v>
      </c>
      <c r="L2" s="6" t="s">
        <v>3</v>
      </c>
      <c r="N2" s="53" t="s">
        <v>27</v>
      </c>
      <c r="O2" s="53"/>
      <c r="P2" s="53"/>
      <c r="Q2" s="53"/>
    </row>
    <row r="3" spans="1:30" ht="33" customHeight="1" thickBot="1" x14ac:dyDescent="0.45">
      <c r="B3" s="7">
        <v>1</v>
      </c>
      <c r="C3" s="13"/>
      <c r="D3" s="14"/>
      <c r="E3" s="14"/>
      <c r="F3" s="14"/>
      <c r="G3" s="15"/>
      <c r="H3" s="13"/>
      <c r="I3" s="14"/>
      <c r="J3" s="14"/>
      <c r="K3" s="14"/>
      <c r="L3" s="15"/>
      <c r="N3" s="54"/>
      <c r="O3" s="54"/>
      <c r="P3" s="55" t="s">
        <v>28</v>
      </c>
      <c r="Q3" s="55"/>
      <c r="R3" t="s">
        <v>15</v>
      </c>
      <c r="S3" t="s">
        <v>16</v>
      </c>
      <c r="U3" s="56" t="s">
        <v>35</v>
      </c>
      <c r="V3" s="56"/>
      <c r="W3" s="56"/>
      <c r="X3" s="56"/>
      <c r="Y3" s="47"/>
      <c r="Z3" s="50" t="s">
        <v>18</v>
      </c>
      <c r="AA3" s="51"/>
      <c r="AB3" s="51"/>
      <c r="AC3" s="51"/>
      <c r="AD3" s="52"/>
    </row>
    <row r="4" spans="1:30" ht="33" customHeight="1" x14ac:dyDescent="0.3">
      <c r="B4" s="8">
        <v>2</v>
      </c>
      <c r="C4" s="16"/>
      <c r="D4" s="17"/>
      <c r="E4" s="17"/>
      <c r="F4" s="17"/>
      <c r="G4" s="18"/>
      <c r="H4" s="16"/>
      <c r="I4" s="17"/>
      <c r="J4" s="17"/>
      <c r="K4" s="17"/>
      <c r="L4" s="18"/>
      <c r="N4" s="61"/>
      <c r="O4" s="61"/>
      <c r="P4" s="62" t="s">
        <v>29</v>
      </c>
      <c r="Q4" s="62"/>
      <c r="R4">
        <f>COUNTA(C3:G8,C10:G16)</f>
        <v>0</v>
      </c>
      <c r="S4">
        <f>COUNTA(H3:L8,H10:L16)</f>
        <v>0</v>
      </c>
      <c r="U4" s="74" t="s">
        <v>36</v>
      </c>
      <c r="V4" s="74" t="s">
        <v>91</v>
      </c>
      <c r="W4" s="44" t="s">
        <v>37</v>
      </c>
      <c r="X4" s="44" t="s">
        <v>75</v>
      </c>
      <c r="Z4" s="36" t="s">
        <v>21</v>
      </c>
      <c r="AA4" s="1" t="s">
        <v>22</v>
      </c>
      <c r="AB4" s="38" t="s">
        <v>23</v>
      </c>
      <c r="AC4" s="38" t="s">
        <v>24</v>
      </c>
      <c r="AD4" s="37"/>
    </row>
    <row r="5" spans="1:30" ht="33" customHeight="1" x14ac:dyDescent="0.3">
      <c r="B5" s="8">
        <v>3</v>
      </c>
      <c r="C5" s="16"/>
      <c r="D5" s="17"/>
      <c r="E5" s="17"/>
      <c r="F5" s="17"/>
      <c r="G5" s="18"/>
      <c r="H5" s="16"/>
      <c r="I5" s="17"/>
      <c r="J5" s="17"/>
      <c r="K5" s="17"/>
      <c r="L5" s="18"/>
      <c r="N5" s="63"/>
      <c r="O5" s="63"/>
      <c r="P5" s="62" t="s">
        <v>30</v>
      </c>
      <c r="Q5" s="62"/>
      <c r="U5" s="46"/>
      <c r="V5" s="46" t="str">
        <f>IFERROR(INDEX(Sheet3!$A$19:$K$62,INDEX(Sheet3!$I$19:$J$62,MATCH(U5,Sheet3!$J$19:$J$62,0),1),2),"")</f>
        <v/>
      </c>
      <c r="W5" s="46" t="str">
        <f xml:space="preserve"> _xlfn.IFNA(VLOOKUP(U5, Sheet3!J19:K62,2,0),"")</f>
        <v/>
      </c>
      <c r="X5" s="46" t="str">
        <f xml:space="preserve"> IFERROR(W5 *2,"")</f>
        <v/>
      </c>
      <c r="Z5" s="67"/>
      <c r="AA5" s="68"/>
      <c r="AB5" s="69"/>
      <c r="AC5" s="69"/>
      <c r="AD5" s="37"/>
    </row>
    <row r="6" spans="1:30" ht="33" customHeight="1" thickBot="1" x14ac:dyDescent="0.35">
      <c r="B6" s="8">
        <v>4</v>
      </c>
      <c r="C6" s="16"/>
      <c r="D6" s="17"/>
      <c r="E6" s="17"/>
      <c r="F6" s="17"/>
      <c r="G6" s="18"/>
      <c r="H6" s="16"/>
      <c r="I6" s="17"/>
      <c r="J6" s="17"/>
      <c r="K6" s="17"/>
      <c r="L6" s="18"/>
      <c r="N6" s="59"/>
      <c r="O6" s="60"/>
      <c r="P6" s="62" t="s">
        <v>31</v>
      </c>
      <c r="Q6" s="62"/>
      <c r="T6" s="57" t="s">
        <v>33</v>
      </c>
      <c r="U6" s="57"/>
      <c r="V6" s="57"/>
      <c r="Z6" s="67"/>
      <c r="AA6" s="68"/>
      <c r="AB6" s="70"/>
      <c r="AC6" s="70"/>
      <c r="AD6" s="37"/>
    </row>
    <row r="7" spans="1:30" ht="33" customHeight="1" thickBot="1" x14ac:dyDescent="0.35">
      <c r="B7" s="8">
        <v>5</v>
      </c>
      <c r="C7" s="16"/>
      <c r="D7" s="17"/>
      <c r="E7" s="17"/>
      <c r="F7" s="17"/>
      <c r="G7" s="18"/>
      <c r="H7" s="16"/>
      <c r="I7" s="17"/>
      <c r="J7" s="17"/>
      <c r="K7" s="17"/>
      <c r="L7" s="18"/>
      <c r="N7" s="58"/>
      <c r="O7" s="58"/>
      <c r="P7" s="55" t="s">
        <v>32</v>
      </c>
      <c r="Q7" s="55"/>
      <c r="T7">
        <v>1</v>
      </c>
      <c r="V7" s="41">
        <v>2.3148148148148147E-5</v>
      </c>
      <c r="Z7" s="50" t="s">
        <v>19</v>
      </c>
      <c r="AA7" s="51"/>
      <c r="AB7" s="51"/>
      <c r="AC7" s="51"/>
      <c r="AD7" s="52"/>
    </row>
    <row r="8" spans="1:30" ht="33" customHeight="1" thickBot="1" x14ac:dyDescent="0.35">
      <c r="B8" s="9">
        <v>6</v>
      </c>
      <c r="C8" s="19"/>
      <c r="D8" s="20"/>
      <c r="E8" s="20"/>
      <c r="F8" s="20"/>
      <c r="G8" s="21"/>
      <c r="H8" s="19"/>
      <c r="I8" s="20"/>
      <c r="J8" s="20"/>
      <c r="K8" s="20"/>
      <c r="L8" s="21"/>
      <c r="Z8" s="67" t="s">
        <v>25</v>
      </c>
      <c r="AA8" s="68"/>
      <c r="AB8" s="38" t="s">
        <v>23</v>
      </c>
      <c r="AC8" s="38" t="s">
        <v>24</v>
      </c>
      <c r="AD8" s="37"/>
    </row>
    <row r="9" spans="1:30" ht="33" customHeight="1" thickBot="1" x14ac:dyDescent="0.35">
      <c r="A9">
        <f t="shared" ref="A9:A14" si="0">SUM(C9:G9)</f>
        <v>0</v>
      </c>
      <c r="B9" s="2" t="s">
        <v>5</v>
      </c>
      <c r="C9" s="22">
        <f>IF(SUM(C3:C8)&gt;=63,IF(SUM(C3:C8,50)&gt;=123,SUM(C3:C8,50)+10,SUM(C3:C8,50)),SUM(C3:C8))</f>
        <v>0</v>
      </c>
      <c r="D9" s="23">
        <f>IF(SUM(D3:D8)&gt;=63,IF(SUM(D3:D8,50)&gt;=123,SUM(D3:D8,50)+10,SUM(D3:D8,50)),SUM(D3:D8))</f>
        <v>0</v>
      </c>
      <c r="E9" s="23">
        <f>IF(SUM(E3:E8)&gt;=63,IF(SUM(E3:E8,50)&gt;=123,SUM(E3:E8,50)+10,SUM(E3:E8,50)),SUM(E3:E8))</f>
        <v>0</v>
      </c>
      <c r="F9" s="23">
        <f>IF(SUM(F3:F8)&gt;=63,IF(SUM(F3:F8,50)&gt;=123,SUM(F3:F8,50)+10,SUM(F3:F8,50)),SUM(F3:F8))</f>
        <v>0</v>
      </c>
      <c r="G9" s="23">
        <f>IF(SUM(G3:G8)&gt;=63,IF(SUM(G3:G8,50)&gt;=123,SUM(G3:G8,60)*2,SUM(G3:G8,50)*2),SUM(G3:G8)*2)</f>
        <v>0</v>
      </c>
      <c r="H9" s="22">
        <f>IF(SUM(H3:H8)&gt;=63,IF(SUM(H3:H8,50)&gt;=123,SUM(H3:H8,50)+10,SUM(H3:H8,50)),SUM(H3:H8))</f>
        <v>0</v>
      </c>
      <c r="I9" s="22">
        <f>IF(SUM(I3:I8)&gt;=63,IF(SUM(I3:I8,50)&gt;=123,SUM(I3:I8,50)+10,SUM(I3:I8,50)),SUM(I3:I8))</f>
        <v>0</v>
      </c>
      <c r="J9" s="22">
        <f>IF(SUM(J3:J8)&gt;=63,IF(SUM(J3:J8,50)&gt;=123,SUM(J3:J8,50)+10,SUM(J3:J8,50)),SUM(J3:J8))</f>
        <v>0</v>
      </c>
      <c r="K9" s="22">
        <f>IF(SUM(K3:K8)&gt;=63,IF(SUM(K3:K8,50)&gt;=123,SUM(K3:K8,50)+10,SUM(K3:K8,50)),SUM(K3:K8))</f>
        <v>0</v>
      </c>
      <c r="L9" s="23">
        <f>IF(SUM(L3:L8)&gt;=63,IF(SUM(L3:L8,50)&gt;=123,SUM(L3:L8,60)*2,SUM(L3:L8,50)*2),SUM(L3:L8)*2)</f>
        <v>0</v>
      </c>
      <c r="M9">
        <f t="shared" ref="M9:M14" si="1">SUM(H9:L9)</f>
        <v>0</v>
      </c>
      <c r="N9" s="40" t="str">
        <f>IF(ABS(A9-M9)=0,"nothing",IF(AND(ABS(A9-M9)&lt;=25,ABS(A9-M9)&gt;0),"first",IF(AND(ABS(A9-M9)&gt;25,ABS(A9-M9)&lt;=50),"second",IF(AND(ABS(A9-M9)&gt;50,ABS(A9-M9)&lt;=100),"third",IF(ABS(A9-M9)&gt;100,"fourth")))))</f>
        <v>nothing</v>
      </c>
      <c r="Z9" s="71"/>
      <c r="AA9" s="72"/>
      <c r="AB9" s="69"/>
      <c r="AC9" s="69"/>
      <c r="AD9" s="37"/>
    </row>
    <row r="10" spans="1:30" ht="33" customHeight="1" thickBot="1" x14ac:dyDescent="0.35">
      <c r="A10">
        <f t="shared" si="0"/>
        <v>0</v>
      </c>
      <c r="B10" s="10" t="s">
        <v>6</v>
      </c>
      <c r="C10" s="24"/>
      <c r="D10" s="14"/>
      <c r="E10" s="14"/>
      <c r="F10" s="14"/>
      <c r="G10" s="26"/>
      <c r="H10" s="25"/>
      <c r="I10" s="24"/>
      <c r="J10" s="24"/>
      <c r="K10" s="24"/>
      <c r="L10" s="15"/>
      <c r="M10">
        <f t="shared" si="1"/>
        <v>0</v>
      </c>
      <c r="N10" s="40" t="str">
        <f t="shared" ref="N10:N14" si="2">IF(ABS(A10-M10)=0,"nothing",IF(AND(ABS(A10-M10)&lt;=25,ABS(A10-M10)&gt;0),"first",IF(AND(ABS(A10-M10)&gt;25,ABS(A10-M10)&lt;=50),"second",IF(AND(ABS(A10-M10)&gt;50,ABS(A10-M10)&lt;=100),"third",IF(ABS(A10-M10)&gt;100,"fourth")))))</f>
        <v>nothing</v>
      </c>
      <c r="Z10" s="71"/>
      <c r="AA10" s="72"/>
      <c r="AB10" s="70"/>
      <c r="AC10" s="70"/>
      <c r="AD10" s="37"/>
    </row>
    <row r="11" spans="1:30" ht="33" customHeight="1" thickBot="1" x14ac:dyDescent="0.35">
      <c r="A11">
        <f t="shared" si="0"/>
        <v>0</v>
      </c>
      <c r="B11" s="11" t="s">
        <v>7</v>
      </c>
      <c r="C11" s="17"/>
      <c r="D11" s="27"/>
      <c r="E11" s="17"/>
      <c r="F11" s="27"/>
      <c r="G11" s="18"/>
      <c r="H11" s="17"/>
      <c r="I11" s="17"/>
      <c r="J11" s="17"/>
      <c r="K11" s="17"/>
      <c r="L11" s="18"/>
      <c r="M11">
        <f t="shared" si="1"/>
        <v>0</v>
      </c>
      <c r="N11" s="40" t="str">
        <f t="shared" si="2"/>
        <v>nothing</v>
      </c>
      <c r="Z11" s="50" t="s">
        <v>20</v>
      </c>
      <c r="AA11" s="51"/>
      <c r="AB11" s="51"/>
      <c r="AC11" s="51"/>
      <c r="AD11" s="52"/>
    </row>
    <row r="12" spans="1:30" ht="33" customHeight="1" x14ac:dyDescent="0.3">
      <c r="A12">
        <f t="shared" si="0"/>
        <v>0</v>
      </c>
      <c r="B12" s="11" t="s">
        <v>8</v>
      </c>
      <c r="C12" s="27"/>
      <c r="D12" s="27"/>
      <c r="E12" s="27"/>
      <c r="F12" s="17"/>
      <c r="G12" s="28"/>
      <c r="H12" s="17"/>
      <c r="I12" s="17"/>
      <c r="J12" s="17"/>
      <c r="K12" s="17"/>
      <c r="L12" s="28"/>
      <c r="M12">
        <f t="shared" si="1"/>
        <v>0</v>
      </c>
      <c r="N12" s="40" t="str">
        <f t="shared" si="2"/>
        <v>nothing</v>
      </c>
      <c r="Z12" s="67" t="s">
        <v>25</v>
      </c>
      <c r="AA12" s="68"/>
      <c r="AB12" s="38" t="s">
        <v>23</v>
      </c>
      <c r="AC12" s="38" t="s">
        <v>24</v>
      </c>
      <c r="AD12" s="37"/>
    </row>
    <row r="13" spans="1:30" ht="33" customHeight="1" thickBot="1" x14ac:dyDescent="0.35">
      <c r="A13">
        <f t="shared" si="0"/>
        <v>0</v>
      </c>
      <c r="B13" s="12" t="s">
        <v>9</v>
      </c>
      <c r="C13" s="29"/>
      <c r="D13" s="30"/>
      <c r="E13" s="29"/>
      <c r="F13" s="30"/>
      <c r="G13" s="31"/>
      <c r="H13" s="29"/>
      <c r="I13" s="29"/>
      <c r="J13" s="29"/>
      <c r="K13" s="29"/>
      <c r="L13" s="31"/>
      <c r="M13">
        <f t="shared" si="1"/>
        <v>0</v>
      </c>
      <c r="N13" s="40" t="str">
        <f t="shared" si="2"/>
        <v>nothing</v>
      </c>
      <c r="Z13" s="71"/>
      <c r="AA13" s="72"/>
      <c r="AB13" s="69"/>
      <c r="AC13" s="69"/>
      <c r="AD13" s="37"/>
    </row>
    <row r="14" spans="1:30" ht="33" customHeight="1" thickBot="1" x14ac:dyDescent="0.35">
      <c r="A14">
        <f t="shared" si="0"/>
        <v>0</v>
      </c>
      <c r="B14" s="2" t="s">
        <v>10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>
        <f t="shared" si="1"/>
        <v>0</v>
      </c>
      <c r="N14" s="40" t="str">
        <f t="shared" si="2"/>
        <v>nothing</v>
      </c>
      <c r="Z14" s="71"/>
      <c r="AA14" s="72"/>
      <c r="AB14" s="70"/>
      <c r="AC14" s="70"/>
      <c r="AD14" s="37"/>
    </row>
    <row r="15" spans="1:30" ht="33" customHeight="1" thickBot="1" x14ac:dyDescent="0.55000000000000004">
      <c r="B15" s="7" t="s">
        <v>11</v>
      </c>
      <c r="C15" s="13"/>
      <c r="D15" s="14"/>
      <c r="E15" s="14"/>
      <c r="F15" s="14"/>
      <c r="G15" s="15"/>
      <c r="H15" s="13"/>
      <c r="I15" s="14"/>
      <c r="J15" s="14"/>
      <c r="K15" s="14"/>
      <c r="L15" s="15"/>
      <c r="Z15" s="64" t="s">
        <v>26</v>
      </c>
      <c r="AA15" s="65"/>
      <c r="AB15" s="65"/>
      <c r="AC15" s="65"/>
      <c r="AD15" s="66"/>
    </row>
    <row r="16" spans="1:30" ht="33" customHeight="1" thickBot="1" x14ac:dyDescent="0.35">
      <c r="B16" s="9" t="s">
        <v>12</v>
      </c>
      <c r="C16" s="19"/>
      <c r="D16" s="20"/>
      <c r="E16" s="20"/>
      <c r="F16" s="20"/>
      <c r="G16" s="21"/>
      <c r="H16" s="19"/>
      <c r="I16" s="20"/>
      <c r="J16" s="20"/>
      <c r="K16" s="20"/>
      <c r="L16" s="21"/>
      <c r="S16" s="42"/>
    </row>
    <row r="17" spans="1:23" ht="33" customHeight="1" thickBot="1" x14ac:dyDescent="0.35">
      <c r="A17">
        <f>SUM(C17:G17)</f>
        <v>0</v>
      </c>
      <c r="B17" s="2" t="s">
        <v>5</v>
      </c>
      <c r="C17" s="32">
        <f>(C16-C15)</f>
        <v>0</v>
      </c>
      <c r="D17" s="32">
        <f>(D16-D15)</f>
        <v>0</v>
      </c>
      <c r="E17" s="32">
        <f>(E16-E15)</f>
        <v>0</v>
      </c>
      <c r="F17" s="32">
        <f>(F16-F15)</f>
        <v>0</v>
      </c>
      <c r="G17" s="33">
        <f>(G16-G15)*2</f>
        <v>0</v>
      </c>
      <c r="H17" s="32">
        <f>H16-H15</f>
        <v>0</v>
      </c>
      <c r="I17" s="32">
        <f>I16-I15</f>
        <v>0</v>
      </c>
      <c r="J17" s="32">
        <f>J16-J15</f>
        <v>0</v>
      </c>
      <c r="K17" s="32">
        <f>K16-K15</f>
        <v>0</v>
      </c>
      <c r="L17" s="32">
        <f>(L16-L15)*2</f>
        <v>0</v>
      </c>
      <c r="M17">
        <f>SUM(H17:L17)</f>
        <v>0</v>
      </c>
      <c r="N17" s="40"/>
      <c r="S17" s="42"/>
    </row>
    <row r="18" spans="1:23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W18" s="42"/>
    </row>
    <row r="19" spans="1:23" x14ac:dyDescent="0.3">
      <c r="A19" s="35">
        <f>SUM(A9:A14,A17)</f>
        <v>0</v>
      </c>
      <c r="M19" s="35">
        <f>SUM(M9:M14,M17)</f>
        <v>0</v>
      </c>
    </row>
    <row r="20" spans="1:23" ht="31.2" customHeight="1" x14ac:dyDescent="0.3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23" ht="14.4" customHeight="1" x14ac:dyDescent="0.3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23" ht="14.4" customHeight="1" x14ac:dyDescent="0.3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23" ht="14.4" customHeight="1" x14ac:dyDescent="0.3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</sheetData>
  <mergeCells count="32">
    <mergeCell ref="Z15:AD15"/>
    <mergeCell ref="Z11:AD11"/>
    <mergeCell ref="Z5:Z6"/>
    <mergeCell ref="AA5:AA6"/>
    <mergeCell ref="AB5:AB6"/>
    <mergeCell ref="AC5:AC6"/>
    <mergeCell ref="Z8:AA8"/>
    <mergeCell ref="Z9:AA10"/>
    <mergeCell ref="AB9:AB10"/>
    <mergeCell ref="AC9:AC10"/>
    <mergeCell ref="Z12:AA12"/>
    <mergeCell ref="Z13:AA14"/>
    <mergeCell ref="AB13:AB14"/>
    <mergeCell ref="AC13:AC14"/>
    <mergeCell ref="Z7:AD7"/>
    <mergeCell ref="T6:V6"/>
    <mergeCell ref="N7:O7"/>
    <mergeCell ref="P7:Q7"/>
    <mergeCell ref="N6:O6"/>
    <mergeCell ref="N4:O4"/>
    <mergeCell ref="P4:Q4"/>
    <mergeCell ref="N5:O5"/>
    <mergeCell ref="P5:Q5"/>
    <mergeCell ref="P6:Q6"/>
    <mergeCell ref="T1:V1"/>
    <mergeCell ref="B1:G1"/>
    <mergeCell ref="H1:L1"/>
    <mergeCell ref="Z3:AD3"/>
    <mergeCell ref="N2:Q2"/>
    <mergeCell ref="N3:O3"/>
    <mergeCell ref="P3:Q3"/>
    <mergeCell ref="U3:X3"/>
  </mergeCells>
  <conditionalFormatting sqref="V7">
    <cfRule type="containsText" dxfId="103" priority="125" operator="containsText" text="nothing">
      <formula>NOT(ISERROR(SEARCH("nothing",V7)))</formula>
    </cfRule>
  </conditionalFormatting>
  <conditionalFormatting sqref="N10:N14 N17">
    <cfRule type="containsText" dxfId="102" priority="120" operator="containsText" text="fourth">
      <formula>NOT(ISERROR(SEARCH("fourth",N10)))</formula>
    </cfRule>
    <cfRule type="containsText" dxfId="101" priority="121" operator="containsText" text="third">
      <formula>NOT(ISERROR(SEARCH("third",N10)))</formula>
    </cfRule>
  </conditionalFormatting>
  <conditionalFormatting sqref="N10:N14">
    <cfRule type="containsText" dxfId="100" priority="118" operator="containsText" text="fourth">
      <formula>NOT(ISERROR(SEARCH("fourth",N10)))</formula>
    </cfRule>
    <cfRule type="containsText" dxfId="99" priority="119" operator="containsText" text="third">
      <formula>NOT(ISERROR(SEARCH("third",N10)))</formula>
    </cfRule>
  </conditionalFormatting>
  <conditionalFormatting sqref="N9:N14">
    <cfRule type="containsText" dxfId="98" priority="116" operator="containsText" text="fourth">
      <formula>NOT(ISERROR(SEARCH("fourth",N9)))</formula>
    </cfRule>
    <cfRule type="containsText" dxfId="97" priority="117" operator="containsText" text="third">
      <formula>NOT(ISERROR(SEARCH("third",N9)))</formula>
    </cfRule>
    <cfRule type="containsText" dxfId="96" priority="122" operator="containsText" text="second">
      <formula>NOT(ISERROR(SEARCH("second",N9)))</formula>
    </cfRule>
    <cfRule type="containsText" dxfId="95" priority="123" operator="containsText" text="first">
      <formula>NOT(ISERROR(SEARCH("first",N9)))</formula>
    </cfRule>
    <cfRule type="containsText" dxfId="94" priority="124" operator="containsText" text="nothing">
      <formula>NOT(ISERROR(SEARCH("nothing",N9)))</formula>
    </cfRule>
  </conditionalFormatting>
  <conditionalFormatting sqref="H22">
    <cfRule type="cellIs" dxfId="93" priority="113" operator="greaterThan">
      <formula>200</formula>
    </cfRule>
    <cfRule type="cellIs" dxfId="92" priority="114" operator="between">
      <formula>101</formula>
      <formula>200</formula>
    </cfRule>
    <cfRule type="cellIs" dxfId="91" priority="115" operator="between">
      <formula>1</formula>
      <formula>100</formula>
    </cfRule>
  </conditionalFormatting>
  <conditionalFormatting sqref="C10:F10">
    <cfRule type="cellIs" dxfId="90" priority="108" operator="equal">
      <formula>48</formula>
    </cfRule>
    <cfRule type="cellIs" dxfId="89" priority="109" operator="between">
      <formula>39</formula>
      <formula>47</formula>
    </cfRule>
    <cfRule type="cellIs" dxfId="88" priority="110" operator="between">
      <formula>31</formula>
      <formula>38</formula>
    </cfRule>
    <cfRule type="cellIs" dxfId="87" priority="111" operator="between">
      <formula>24</formula>
      <formula>30</formula>
    </cfRule>
    <cfRule type="cellIs" dxfId="86" priority="112" operator="between">
      <formula>17</formula>
      <formula>23</formula>
    </cfRule>
  </conditionalFormatting>
  <conditionalFormatting sqref="H10:K10">
    <cfRule type="cellIs" dxfId="85" priority="97" operator="equal">
      <formula>48</formula>
    </cfRule>
    <cfRule type="cellIs" dxfId="84" priority="98" operator="between">
      <formula>39</formula>
      <formula>47</formula>
    </cfRule>
    <cfRule type="cellIs" dxfId="83" priority="99" operator="between">
      <formula>31</formula>
      <formula>38</formula>
    </cfRule>
    <cfRule type="cellIs" dxfId="82" priority="100" operator="between">
      <formula>24</formula>
      <formula>30</formula>
    </cfRule>
    <cfRule type="cellIs" dxfId="81" priority="101" operator="between">
      <formula>17</formula>
      <formula>23</formula>
    </cfRule>
  </conditionalFormatting>
  <conditionalFormatting sqref="C9:F9">
    <cfRule type="cellIs" dxfId="80" priority="80" operator="greaterThanOrEqual">
      <formula>133</formula>
    </cfRule>
    <cfRule type="cellIs" dxfId="79" priority="81" operator="between">
      <formula>114</formula>
      <formula>122</formula>
    </cfRule>
    <cfRule type="cellIs" dxfId="78" priority="82" operator="equal">
      <formula>113</formula>
    </cfRule>
    <cfRule type="cellIs" dxfId="77" priority="83" operator="between">
      <formula>1</formula>
      <formula>62</formula>
    </cfRule>
    <cfRule type="cellIs" dxfId="76" priority="85" operator="equal">
      <formula>0</formula>
    </cfRule>
  </conditionalFormatting>
  <conditionalFormatting sqref="H9:K9">
    <cfRule type="cellIs" dxfId="75" priority="75" operator="greaterThanOrEqual">
      <formula>133</formula>
    </cfRule>
    <cfRule type="cellIs" dxfId="74" priority="76" operator="between">
      <formula>114</formula>
      <formula>122</formula>
    </cfRule>
    <cfRule type="cellIs" dxfId="73" priority="77" operator="equal">
      <formula>113</formula>
    </cfRule>
    <cfRule type="cellIs" dxfId="72" priority="78" operator="between">
      <formula>1</formula>
      <formula>62</formula>
    </cfRule>
    <cfRule type="cellIs" dxfId="71" priority="79" operator="equal">
      <formula>0</formula>
    </cfRule>
  </conditionalFormatting>
  <conditionalFormatting sqref="G9">
    <cfRule type="cellIs" dxfId="70" priority="72" operator="greaterThanOrEqual">
      <formula>226</formula>
    </cfRule>
    <cfRule type="cellIs" dxfId="69" priority="73" operator="equal">
      <formula>0</formula>
    </cfRule>
    <cfRule type="cellIs" dxfId="68" priority="74" operator="between">
      <formula>1</formula>
      <formula>124</formula>
    </cfRule>
  </conditionalFormatting>
  <conditionalFormatting sqref="L9">
    <cfRule type="cellIs" dxfId="67" priority="69" operator="greaterThanOrEqual">
      <formula>226</formula>
    </cfRule>
    <cfRule type="cellIs" dxfId="66" priority="70" operator="equal">
      <formula>0</formula>
    </cfRule>
    <cfRule type="cellIs" dxfId="65" priority="71" operator="between">
      <formula>1</formula>
      <formula>124</formula>
    </cfRule>
  </conditionalFormatting>
  <conditionalFormatting sqref="C11:F11">
    <cfRule type="containsText" dxfId="64" priority="64" operator="containsText" text="x">
      <formula>NOT(ISERROR(SEARCH("x",C11)))</formula>
    </cfRule>
    <cfRule type="cellIs" dxfId="63" priority="67" operator="equal">
      <formula>45</formula>
    </cfRule>
    <cfRule type="cellIs" dxfId="62" priority="68" operator="equal">
      <formula>35</formula>
    </cfRule>
  </conditionalFormatting>
  <conditionalFormatting sqref="H11:K11">
    <cfRule type="containsText" dxfId="61" priority="61" operator="containsText" text="x">
      <formula>NOT(ISERROR(SEARCH("x",H11)))</formula>
    </cfRule>
    <cfRule type="cellIs" dxfId="60" priority="62" operator="equal">
      <formula>45</formula>
    </cfRule>
    <cfRule type="cellIs" dxfId="59" priority="63" operator="equal">
      <formula>35</formula>
    </cfRule>
  </conditionalFormatting>
  <conditionalFormatting sqref="G11">
    <cfRule type="cellIs" dxfId="58" priority="59" operator="equal">
      <formula>70</formula>
    </cfRule>
    <cfRule type="containsText" dxfId="57" priority="60" operator="containsText" text="x">
      <formula>NOT(ISERROR(SEARCH("x",G11)))</formula>
    </cfRule>
  </conditionalFormatting>
  <conditionalFormatting sqref="L11">
    <cfRule type="cellIs" dxfId="56" priority="57" operator="equal">
      <formula>70</formula>
    </cfRule>
    <cfRule type="containsText" dxfId="55" priority="58" operator="containsText" text="x">
      <formula>NOT(ISERROR(SEARCH("x",L11)))</formula>
    </cfRule>
  </conditionalFormatting>
  <conditionalFormatting sqref="C12:F12">
    <cfRule type="containsText" dxfId="54" priority="54" operator="containsText" text="x">
      <formula>NOT(ISERROR(SEARCH("x",C12)))</formula>
    </cfRule>
    <cfRule type="cellIs" dxfId="53" priority="55" operator="equal">
      <formula>60</formula>
    </cfRule>
    <cfRule type="cellIs" dxfId="52" priority="56" operator="equal">
      <formula>50</formula>
    </cfRule>
  </conditionalFormatting>
  <conditionalFormatting sqref="G12">
    <cfRule type="containsText" dxfId="51" priority="49" operator="containsText" text="x">
      <formula>NOT(ISERROR(SEARCH("x",G12)))</formula>
    </cfRule>
    <cfRule type="cellIs" dxfId="50" priority="50" operator="equal">
      <formula>100</formula>
    </cfRule>
  </conditionalFormatting>
  <conditionalFormatting sqref="L12">
    <cfRule type="containsText" dxfId="49" priority="47" operator="containsText" text="x">
      <formula>NOT(ISERROR(SEARCH("x",L12)))</formula>
    </cfRule>
    <cfRule type="cellIs" dxfId="48" priority="48" operator="equal">
      <formula>100</formula>
    </cfRule>
  </conditionalFormatting>
  <conditionalFormatting sqref="C13:F13">
    <cfRule type="containsText" dxfId="47" priority="37" operator="containsText" text="x">
      <formula>NOT(ISERROR(SEARCH("x",C13)))</formula>
    </cfRule>
    <cfRule type="cellIs" dxfId="46" priority="42" operator="equal">
      <formula>54</formula>
    </cfRule>
    <cfRule type="cellIs" dxfId="45" priority="43" operator="between">
      <formula>42</formula>
      <formula>50</formula>
    </cfRule>
    <cfRule type="cellIs" dxfId="44" priority="44" operator="between">
      <formula>34</formula>
      <formula>40</formula>
    </cfRule>
    <cfRule type="cellIs" dxfId="43" priority="46" operator="between">
      <formula>24</formula>
      <formula>32</formula>
    </cfRule>
  </conditionalFormatting>
  <conditionalFormatting sqref="F10">
    <cfRule type="cellIs" dxfId="42" priority="45" operator="between">
      <formula>34</formula>
      <formula>40</formula>
    </cfRule>
  </conditionalFormatting>
  <conditionalFormatting sqref="H13:K13">
    <cfRule type="containsText" dxfId="41" priority="32" operator="containsText" text="x">
      <formula>NOT(ISERROR(SEARCH("x",H13)))</formula>
    </cfRule>
    <cfRule type="cellIs" dxfId="40" priority="33" operator="equal">
      <formula>54</formula>
    </cfRule>
    <cfRule type="cellIs" dxfId="39" priority="34" operator="between">
      <formula>42</formula>
      <formula>50</formula>
    </cfRule>
    <cfRule type="cellIs" dxfId="38" priority="35" operator="between">
      <formula>34</formula>
      <formula>40</formula>
    </cfRule>
    <cfRule type="cellIs" dxfId="37" priority="36" operator="between">
      <formula>24</formula>
      <formula>32</formula>
    </cfRule>
  </conditionalFormatting>
  <conditionalFormatting sqref="G13">
    <cfRule type="containsText" dxfId="36" priority="25" operator="containsText" text="x">
      <formula>NOT(ISERROR(SEARCH("x",G13)))</formula>
    </cfRule>
    <cfRule type="cellIs" dxfId="35" priority="29" operator="equal">
      <formula>88</formula>
    </cfRule>
    <cfRule type="cellIs" dxfId="34" priority="30" operator="between">
      <formula>64</formula>
      <formula>80</formula>
    </cfRule>
    <cfRule type="cellIs" dxfId="33" priority="31" operator="between">
      <formula>48</formula>
      <formula>56</formula>
    </cfRule>
  </conditionalFormatting>
  <conditionalFormatting sqref="L13">
    <cfRule type="containsText" dxfId="32" priority="21" operator="containsText" text="x">
      <formula>NOT(ISERROR(SEARCH("x",L13)))</formula>
    </cfRule>
    <cfRule type="cellIs" dxfId="31" priority="22" operator="equal">
      <formula>88</formula>
    </cfRule>
    <cfRule type="cellIs" dxfId="30" priority="23" operator="between">
      <formula>64</formula>
      <formula>80</formula>
    </cfRule>
    <cfRule type="cellIs" dxfId="29" priority="24" operator="between">
      <formula>48</formula>
      <formula>56</formula>
    </cfRule>
  </conditionalFormatting>
  <conditionalFormatting sqref="C14:F14">
    <cfRule type="containsText" dxfId="28" priority="8" operator="containsText" text="x">
      <formula>NOT(ISERROR(SEARCH("x",C14)))</formula>
    </cfRule>
    <cfRule type="cellIs" dxfId="27" priority="18" operator="between">
      <formula>100</formula>
      <formula>110</formula>
    </cfRule>
    <cfRule type="cellIs" dxfId="26" priority="19" operator="between">
      <formula>80</formula>
      <formula>95</formula>
    </cfRule>
    <cfRule type="cellIs" dxfId="25" priority="20" operator="equal">
      <formula>75</formula>
    </cfRule>
  </conditionalFormatting>
  <conditionalFormatting sqref="G14">
    <cfRule type="containsText" dxfId="24" priority="12" operator="containsText" text="x">
      <formula>NOT(ISERROR(SEARCH("x",G14)))</formula>
    </cfRule>
    <cfRule type="cellIs" dxfId="23" priority="13" operator="equal">
      <formula>200</formula>
    </cfRule>
    <cfRule type="cellIs" dxfId="22" priority="14" operator="between">
      <formula>150</formula>
      <formula>190</formula>
    </cfRule>
  </conditionalFormatting>
  <conditionalFormatting sqref="L14">
    <cfRule type="containsText" dxfId="21" priority="9" operator="containsText" text="x">
      <formula>NOT(ISERROR(SEARCH("x",L14)))</formula>
    </cfRule>
    <cfRule type="cellIs" dxfId="20" priority="10" operator="equal">
      <formula>200</formula>
    </cfRule>
    <cfRule type="cellIs" dxfId="19" priority="11" operator="between">
      <formula>150</formula>
      <formula>190</formula>
    </cfRule>
  </conditionalFormatting>
  <conditionalFormatting sqref="H14:K14">
    <cfRule type="containsText" dxfId="18" priority="4" operator="containsText" text="x">
      <formula>NOT(ISERROR(SEARCH("x",H14)))</formula>
    </cfRule>
    <cfRule type="cellIs" dxfId="17" priority="5" operator="between">
      <formula>100</formula>
      <formula>110</formula>
    </cfRule>
    <cfRule type="cellIs" dxfId="16" priority="6" operator="between">
      <formula>80</formula>
      <formula>95</formula>
    </cfRule>
    <cfRule type="cellIs" dxfId="15" priority="7" operator="equal">
      <formula>75</formula>
    </cfRule>
  </conditionalFormatting>
  <conditionalFormatting sqref="H12:K12">
    <cfRule type="containsText" dxfId="14" priority="1" operator="containsText" text="x">
      <formula>NOT(ISERROR(SEARCH("x",H12)))</formula>
    </cfRule>
    <cfRule type="cellIs" dxfId="13" priority="2" operator="equal">
      <formula>60</formula>
    </cfRule>
    <cfRule type="cellIs" dxfId="12" priority="3" operator="equal">
      <formula>50</formula>
    </cfRule>
  </conditionalFormatting>
  <dataValidations count="5">
    <dataValidation type="list" allowBlank="1" showInputMessage="1" sqref="U5">
      <formula1>MyList</formula1>
    </dataValidation>
    <dataValidation type="list" allowBlank="1" showInputMessage="1" sqref="V5">
      <formula1>Jocuri</formula1>
    </dataValidation>
    <dataValidation allowBlank="1" showInputMessage="1" showErrorMessage="1" prompt="Pentru a face lina valida, trebuie macar sa dai 3 zare identice pentru fiecare valoare" sqref="C9:F9 H9:K9"/>
    <dataValidation allowBlank="1" showInputMessage="1" showErrorMessage="1" prompt="Linia de servite se face cand dai din prima incercare 3 zare identice pentru fiecare valoare. Linia facuta la servite este de obicei un factor decisiv" sqref="G9 L9"/>
    <dataValidation allowBlank="1" showInputMessage="1" showErrorMessage="1" prompt="Introduceti zarurile aruncate si veti vedea exact ce ati dat si ce valoare are" sqref="U3:X3"/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2" operator="containsText" id="{BDF83C20-7234-4449-A7E6-35CBF6A4BF62}">
            <xm:f>NOT(ISERROR(SEARCH(Sheet2!$A$9,C10)))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C10:F10</xm:sqref>
        </x14:conditionalFormatting>
        <x14:conditionalFormatting xmlns:xm="http://schemas.microsoft.com/office/excel/2006/main">
          <x14:cfRule type="containsText" priority="96" operator="containsText" id="{B857E506-59BF-44DB-95EE-A6DBC5B6DE79}">
            <xm:f>NOT(ISERROR(SEARCH(Sheet2!$A$9,H10)))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H10:K10</xm:sqref>
        </x14:conditionalFormatting>
        <x14:conditionalFormatting xmlns:xm="http://schemas.microsoft.com/office/excel/2006/main">
          <x14:cfRule type="containsText" priority="91" operator="containsText" id="{F5A21BFD-A77A-4EE0-9B8F-0C4D350C9584}">
            <xm:f>NOT(ISERROR(SEARCH(Sheet2!$A$9,G10)))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92" operator="equal" id="{EFE2CE89-7A97-43B1-8529-C067213DB97E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93" operator="between" id="{9C332AFB-98F5-43DD-A681-5576130D6AC9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94" operator="between" id="{CEA5D3F1-05F6-43DD-ACA3-976CD629BDB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95" operator="between" id="{1D4A5BEE-9264-4375-A327-A04CEDECD251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G10</xm:sqref>
        </x14:conditionalFormatting>
        <x14:conditionalFormatting xmlns:xm="http://schemas.microsoft.com/office/excel/2006/main">
          <x14:cfRule type="containsText" priority="86" operator="containsText" id="{F51AF46B-0CAA-4C2C-ABD8-E0B025697BCF}">
            <xm:f>NOT(ISERROR(SEARCH(Sheet2!$A$9,L10)))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87" operator="equal" id="{69904EEF-F37A-43AD-9C9F-E9924C04B412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88" operator="between" id="{B6906DEE-AFCC-44AC-8A28-BA1874508E44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89" operator="between" id="{4528C6D6-1F9F-4F7A-8249-595351A44FF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90" operator="between" id="{46BD5C8D-2600-4641-BC55-FA613D85B909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L10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Sheet2!$A$1:$A$6</xm:f>
          </x14:formula1>
          <xm:sqref>C3:L3</xm:sqref>
        </x14:dataValidation>
        <x14:dataValidation type="list" allowBlank="1" showInputMessage="1" showErrorMessage="1">
          <x14:formula1>
            <xm:f>Sheet2!$B$1:$B$6</xm:f>
          </x14:formula1>
          <xm:sqref>C4:L4</xm:sqref>
        </x14:dataValidation>
        <x14:dataValidation type="list" allowBlank="1" showInputMessage="1" showErrorMessage="1">
          <x14:formula1>
            <xm:f>Sheet2!$C$1:$C$6</xm:f>
          </x14:formula1>
          <xm:sqref>C5:L5</xm:sqref>
        </x14:dataValidation>
        <x14:dataValidation type="list" allowBlank="1" showInputMessage="1" showErrorMessage="1">
          <x14:formula1>
            <xm:f>Sheet2!$D$1:$D$6</xm:f>
          </x14:formula1>
          <xm:sqref>C6:L6</xm:sqref>
        </x14:dataValidation>
        <x14:dataValidation type="list" allowBlank="1" showInputMessage="1" showErrorMessage="1">
          <x14:formula1>
            <xm:f>Sheet2!$E$1:$E$6</xm:f>
          </x14:formula1>
          <xm:sqref>C7:L7</xm:sqref>
        </x14:dataValidation>
        <x14:dataValidation type="list" allowBlank="1" showInputMessage="1" showErrorMessage="1">
          <x14:formula1>
            <xm:f>Sheet2!$F$1:$F$6</xm:f>
          </x14:formula1>
          <xm:sqref>C8:F8 H8:K8 G8</xm:sqref>
        </x14:dataValidation>
        <x14:dataValidation type="list" allowBlank="1" showInputMessage="1" showErrorMessage="1" prompt="O quinta mica inseamna sa dai din maxim 3 zare primele 5 zare consecutive = 12345">
          <x14:formula1>
            <xm:f>Sheet2!$J$13:$J$15</xm:f>
          </x14:formula1>
          <xm:sqref>C11:F11 H11:K11</xm:sqref>
        </x14:dataValidation>
        <x14:dataValidation type="list" allowBlank="1" showInputMessage="1" showErrorMessage="1" prompt="Trebuie sa dai din prima incercare">
          <x14:formula1>
            <xm:f>Sheet2!$K$13:$K$14</xm:f>
          </x14:formula1>
          <xm:sqref>G11 L11</xm:sqref>
        </x14:dataValidation>
        <x14:dataValidation type="list" allowBlank="1" showInputMessage="1" showErrorMessage="1" prompt="O quinta mare inseamna sa dai din maxim 3 zare tot 5 zare consecutive, dar incepand de la 2-&gt;23456_x000a_">
          <x14:formula1>
            <xm:f>Sheet2!$J$18:$J$20</xm:f>
          </x14:formula1>
          <xm:sqref>C12:F12 H12:K12</xm:sqref>
        </x14:dataValidation>
        <x14:dataValidation type="list" allowBlank="1" showInputMessage="1" showErrorMessage="1" prompt="Trebuie sa dai din prima incercare">
          <x14:formula1>
            <xm:f>Sheet2!$K$18:$K$19</xm:f>
          </x14:formula1>
          <xm:sqref>G12 L12</xm:sqref>
        </x14:dataValidation>
        <x14:dataValidation type="list" allowBlank="1" showInputMessage="1" showErrorMessage="1">
          <x14:formula1>
            <xm:f>Sheet2!$J$24:$J$49</xm:f>
          </x14:formula1>
          <xm:sqref>C15:L16</xm:sqref>
        </x14:dataValidation>
        <x14:dataValidation type="list" allowBlank="1" showInputMessage="1" showErrorMessage="1" prompt="Un full este facut cand din maxim 3 zare reusesti sa dai 3 zare la fel si 2 zare la fel">
          <x14:formula1>
            <xm:f>Sheet2!$A$9:$A$39</xm:f>
          </x14:formula1>
          <xm:sqref>C10:F10 H10:K10</xm:sqref>
        </x14:dataValidation>
        <x14:dataValidation type="list" allowBlank="1" showInputMessage="1" showErrorMessage="1" prompt="Un careu il obtii daca din maxim 3 zare dai 4 zare identice">
          <x14:formula1>
            <xm:f>Sheet2!$M$13:$M$25</xm:f>
          </x14:formula1>
          <xm:sqref>C13:F13 H13:K13</xm:sqref>
        </x14:dataValidation>
        <x14:dataValidation type="list" allowBlank="1" showInputMessage="1" showErrorMessage="1" prompt="Yamsul este cel mai greu de obtinut. Din maxim 3 zare trebuie trebuie sa dai toate zarurile identice. Un yams mare iti poate aduce victoria!">
          <x14:formula1>
            <xm:f>Sheet2!$F$26:$F$34</xm:f>
          </x14:formula1>
          <xm:sqref>C14:F14 H14:K14</xm:sqref>
        </x14:dataValidation>
        <x14:dataValidation type="list" allowBlank="1" showInputMessage="1" showErrorMessage="1" prompt="Trebuie sa dai din prima incercare_x000a_">
          <x14:formula1>
            <xm:f>Sheet2!$B$9:$B$29</xm:f>
          </x14:formula1>
          <xm:sqref>G10 L10</xm:sqref>
        </x14:dataValidation>
        <x14:dataValidation type="list" allowBlank="1" showInputMessage="1" showErrorMessage="1" prompt="Trebuie sa dai din prima incercare">
          <x14:formula1>
            <xm:f>Sheet2!$N$13:$N$19</xm:f>
          </x14:formula1>
          <xm:sqref>G13 L13</xm:sqref>
        </x14:dataValidation>
        <x14:dataValidation type="list" allowBlank="1" showInputMessage="1" showErrorMessage="1" prompt="Trebuie sa dai din prima incercare">
          <x14:formula1>
            <xm:f>Sheet2!$G$26:$G$32</xm:f>
          </x14:formula1>
          <xm:sqref>G14 L14</xm:sqref>
        </x14:dataValidation>
        <x14:dataValidation type="list" allowBlank="1" showInputMessage="1" showErrorMessage="1" prompt="Linia de servite se face cand dai din prima incercare 3 zare identice pentru fiecare valoare. Linia facuta la servite este de obicei un factor decisiv">
          <x14:formula1>
            <xm:f>Sheet2!$F$1:$F$6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9"/>
  <sheetViews>
    <sheetView topLeftCell="A9" workbookViewId="0">
      <selection activeCell="R25" sqref="R25"/>
    </sheetView>
  </sheetViews>
  <sheetFormatPr defaultRowHeight="14.4" x14ac:dyDescent="0.3"/>
  <sheetData>
    <row r="1" spans="1:14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</row>
    <row r="2" spans="1:14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</row>
    <row r="3" spans="1:14" x14ac:dyDescent="0.3">
      <c r="A3">
        <v>2</v>
      </c>
      <c r="B3">
        <v>4</v>
      </c>
      <c r="C3">
        <v>6</v>
      </c>
      <c r="D3">
        <v>8</v>
      </c>
      <c r="E3">
        <v>10</v>
      </c>
      <c r="F3">
        <v>12</v>
      </c>
    </row>
    <row r="4" spans="1:14" x14ac:dyDescent="0.3">
      <c r="A4">
        <v>3</v>
      </c>
      <c r="B4">
        <v>6</v>
      </c>
      <c r="C4">
        <v>9</v>
      </c>
      <c r="D4">
        <v>12</v>
      </c>
      <c r="E4">
        <v>15</v>
      </c>
      <c r="F4">
        <v>18</v>
      </c>
    </row>
    <row r="5" spans="1:14" x14ac:dyDescent="0.3">
      <c r="A5">
        <v>4</v>
      </c>
      <c r="B5">
        <v>8</v>
      </c>
      <c r="C5">
        <v>12</v>
      </c>
      <c r="D5">
        <v>16</v>
      </c>
      <c r="E5">
        <v>20</v>
      </c>
      <c r="F5">
        <v>24</v>
      </c>
    </row>
    <row r="6" spans="1:14" x14ac:dyDescent="0.3">
      <c r="A6">
        <v>5</v>
      </c>
      <c r="B6">
        <v>10</v>
      </c>
      <c r="C6">
        <v>15</v>
      </c>
      <c r="D6">
        <v>20</v>
      </c>
      <c r="E6">
        <v>25</v>
      </c>
      <c r="F6">
        <v>30</v>
      </c>
    </row>
    <row r="9" spans="1:14" x14ac:dyDescent="0.3">
      <c r="A9" t="s">
        <v>17</v>
      </c>
      <c r="B9" t="s">
        <v>17</v>
      </c>
    </row>
    <row r="10" spans="1:14" x14ac:dyDescent="0.3">
      <c r="A10">
        <v>17</v>
      </c>
      <c r="B10">
        <f t="shared" ref="B10:B39" si="0">A10*2</f>
        <v>34</v>
      </c>
      <c r="H10">
        <v>35</v>
      </c>
    </row>
    <row r="11" spans="1:14" x14ac:dyDescent="0.3">
      <c r="A11">
        <v>18</v>
      </c>
      <c r="B11">
        <f t="shared" si="0"/>
        <v>36</v>
      </c>
    </row>
    <row r="12" spans="1:14" x14ac:dyDescent="0.3">
      <c r="A12">
        <v>19</v>
      </c>
      <c r="B12">
        <f t="shared" si="0"/>
        <v>38</v>
      </c>
    </row>
    <row r="13" spans="1:14" x14ac:dyDescent="0.3">
      <c r="A13">
        <v>21</v>
      </c>
      <c r="B13">
        <f t="shared" si="0"/>
        <v>42</v>
      </c>
      <c r="J13" t="s">
        <v>17</v>
      </c>
      <c r="K13" t="s">
        <v>17</v>
      </c>
      <c r="M13">
        <v>24</v>
      </c>
      <c r="N13">
        <f>M13*2</f>
        <v>48</v>
      </c>
    </row>
    <row r="14" spans="1:14" x14ac:dyDescent="0.3">
      <c r="A14">
        <v>22</v>
      </c>
      <c r="B14">
        <f t="shared" si="0"/>
        <v>44</v>
      </c>
      <c r="J14">
        <v>35</v>
      </c>
      <c r="K14">
        <v>70</v>
      </c>
      <c r="M14">
        <v>28</v>
      </c>
      <c r="N14">
        <f>M14*2</f>
        <v>56</v>
      </c>
    </row>
    <row r="15" spans="1:14" x14ac:dyDescent="0.3">
      <c r="A15">
        <v>23</v>
      </c>
      <c r="B15">
        <f t="shared" si="0"/>
        <v>46</v>
      </c>
      <c r="J15">
        <v>45</v>
      </c>
      <c r="M15">
        <v>32</v>
      </c>
      <c r="N15">
        <f>M15*2</f>
        <v>64</v>
      </c>
    </row>
    <row r="16" spans="1:14" x14ac:dyDescent="0.3">
      <c r="A16">
        <v>24</v>
      </c>
      <c r="B16">
        <f t="shared" si="0"/>
        <v>48</v>
      </c>
      <c r="M16">
        <v>34</v>
      </c>
      <c r="N16">
        <v>72</v>
      </c>
    </row>
    <row r="17" spans="1:14" x14ac:dyDescent="0.3">
      <c r="A17">
        <v>25</v>
      </c>
      <c r="B17">
        <f t="shared" si="0"/>
        <v>50</v>
      </c>
      <c r="M17">
        <v>36</v>
      </c>
      <c r="N17">
        <v>80</v>
      </c>
    </row>
    <row r="18" spans="1:14" x14ac:dyDescent="0.3">
      <c r="A18">
        <v>26</v>
      </c>
      <c r="B18">
        <f t="shared" si="0"/>
        <v>52</v>
      </c>
      <c r="J18" t="s">
        <v>17</v>
      </c>
      <c r="K18" t="s">
        <v>17</v>
      </c>
      <c r="M18">
        <v>38</v>
      </c>
      <c r="N18">
        <v>88</v>
      </c>
    </row>
    <row r="19" spans="1:14" x14ac:dyDescent="0.3">
      <c r="A19">
        <v>27</v>
      </c>
      <c r="B19">
        <f t="shared" si="0"/>
        <v>54</v>
      </c>
      <c r="J19">
        <v>50</v>
      </c>
      <c r="K19">
        <v>100</v>
      </c>
      <c r="M19">
        <v>40</v>
      </c>
      <c r="N19" t="s">
        <v>17</v>
      </c>
    </row>
    <row r="20" spans="1:14" x14ac:dyDescent="0.3">
      <c r="A20">
        <v>28</v>
      </c>
      <c r="B20">
        <f t="shared" si="0"/>
        <v>56</v>
      </c>
      <c r="J20">
        <v>60</v>
      </c>
      <c r="M20">
        <v>44</v>
      </c>
    </row>
    <row r="21" spans="1:14" x14ac:dyDescent="0.3">
      <c r="A21">
        <v>29</v>
      </c>
      <c r="B21">
        <f t="shared" si="0"/>
        <v>58</v>
      </c>
      <c r="M21">
        <v>42</v>
      </c>
    </row>
    <row r="22" spans="1:14" x14ac:dyDescent="0.3">
      <c r="A22">
        <v>30</v>
      </c>
      <c r="B22">
        <f t="shared" si="0"/>
        <v>60</v>
      </c>
      <c r="M22">
        <v>46</v>
      </c>
    </row>
    <row r="23" spans="1:14" x14ac:dyDescent="0.3">
      <c r="A23">
        <v>31</v>
      </c>
      <c r="B23">
        <f t="shared" si="0"/>
        <v>62</v>
      </c>
      <c r="M23">
        <v>50</v>
      </c>
    </row>
    <row r="24" spans="1:14" x14ac:dyDescent="0.3">
      <c r="A24">
        <v>32</v>
      </c>
      <c r="B24">
        <f t="shared" si="0"/>
        <v>64</v>
      </c>
      <c r="J24">
        <v>5</v>
      </c>
      <c r="M24">
        <v>54</v>
      </c>
    </row>
    <row r="25" spans="1:14" x14ac:dyDescent="0.3">
      <c r="A25">
        <v>33</v>
      </c>
      <c r="B25">
        <f t="shared" si="0"/>
        <v>66</v>
      </c>
      <c r="J25">
        <v>6</v>
      </c>
      <c r="M25" t="s">
        <v>17</v>
      </c>
    </row>
    <row r="26" spans="1:14" x14ac:dyDescent="0.3">
      <c r="A26">
        <v>34</v>
      </c>
      <c r="B26">
        <f t="shared" si="0"/>
        <v>68</v>
      </c>
      <c r="F26">
        <v>75</v>
      </c>
      <c r="G26">
        <f t="shared" ref="G26:G31" si="1">F26*2</f>
        <v>150</v>
      </c>
      <c r="J26">
        <v>7</v>
      </c>
    </row>
    <row r="27" spans="1:14" x14ac:dyDescent="0.3">
      <c r="A27">
        <v>36</v>
      </c>
      <c r="B27">
        <f t="shared" si="0"/>
        <v>72</v>
      </c>
      <c r="F27">
        <v>80</v>
      </c>
      <c r="G27">
        <f t="shared" si="1"/>
        <v>160</v>
      </c>
      <c r="J27">
        <v>8</v>
      </c>
    </row>
    <row r="28" spans="1:14" x14ac:dyDescent="0.3">
      <c r="A28">
        <v>37</v>
      </c>
      <c r="B28">
        <f t="shared" si="0"/>
        <v>74</v>
      </c>
      <c r="F28">
        <v>85</v>
      </c>
      <c r="G28">
        <f t="shared" si="1"/>
        <v>170</v>
      </c>
      <c r="J28">
        <v>9</v>
      </c>
    </row>
    <row r="29" spans="1:14" x14ac:dyDescent="0.3">
      <c r="A29">
        <v>38</v>
      </c>
      <c r="B29">
        <f t="shared" si="0"/>
        <v>76</v>
      </c>
      <c r="F29">
        <v>90</v>
      </c>
      <c r="G29">
        <f t="shared" si="1"/>
        <v>180</v>
      </c>
      <c r="J29">
        <v>10</v>
      </c>
    </row>
    <row r="30" spans="1:14" x14ac:dyDescent="0.3">
      <c r="A30">
        <v>35</v>
      </c>
      <c r="B30">
        <f t="shared" si="0"/>
        <v>70</v>
      </c>
      <c r="F30">
        <v>95</v>
      </c>
      <c r="G30">
        <f t="shared" si="1"/>
        <v>190</v>
      </c>
      <c r="J30">
        <v>11</v>
      </c>
    </row>
    <row r="31" spans="1:14" x14ac:dyDescent="0.3">
      <c r="A31">
        <v>39</v>
      </c>
      <c r="B31">
        <f t="shared" si="0"/>
        <v>78</v>
      </c>
      <c r="F31">
        <v>100</v>
      </c>
      <c r="G31">
        <f t="shared" si="1"/>
        <v>200</v>
      </c>
      <c r="J31">
        <v>12</v>
      </c>
    </row>
    <row r="32" spans="1:14" x14ac:dyDescent="0.3">
      <c r="A32">
        <v>40</v>
      </c>
      <c r="B32">
        <f t="shared" si="0"/>
        <v>80</v>
      </c>
      <c r="F32">
        <v>105</v>
      </c>
      <c r="G32" t="s">
        <v>17</v>
      </c>
      <c r="J32">
        <v>13</v>
      </c>
    </row>
    <row r="33" spans="1:10" x14ac:dyDescent="0.3">
      <c r="A33">
        <v>41</v>
      </c>
      <c r="B33">
        <f t="shared" si="0"/>
        <v>82</v>
      </c>
      <c r="F33">
        <v>110</v>
      </c>
      <c r="J33">
        <v>14</v>
      </c>
    </row>
    <row r="34" spans="1:10" x14ac:dyDescent="0.3">
      <c r="A34">
        <v>42</v>
      </c>
      <c r="B34">
        <f t="shared" si="0"/>
        <v>84</v>
      </c>
      <c r="F34" t="s">
        <v>17</v>
      </c>
      <c r="J34">
        <v>15</v>
      </c>
    </row>
    <row r="35" spans="1:10" x14ac:dyDescent="0.3">
      <c r="A35">
        <v>43</v>
      </c>
      <c r="B35">
        <f t="shared" si="0"/>
        <v>86</v>
      </c>
      <c r="J35">
        <v>16</v>
      </c>
    </row>
    <row r="36" spans="1:10" x14ac:dyDescent="0.3">
      <c r="A36">
        <v>44</v>
      </c>
      <c r="B36">
        <f t="shared" si="0"/>
        <v>88</v>
      </c>
      <c r="J36">
        <v>17</v>
      </c>
    </row>
    <row r="37" spans="1:10" x14ac:dyDescent="0.3">
      <c r="A37">
        <v>46</v>
      </c>
      <c r="B37">
        <f t="shared" si="0"/>
        <v>92</v>
      </c>
      <c r="J37">
        <v>18</v>
      </c>
    </row>
    <row r="38" spans="1:10" x14ac:dyDescent="0.3">
      <c r="A38">
        <v>47</v>
      </c>
      <c r="B38">
        <f t="shared" si="0"/>
        <v>94</v>
      </c>
      <c r="J38">
        <v>19</v>
      </c>
    </row>
    <row r="39" spans="1:10" x14ac:dyDescent="0.3">
      <c r="A39">
        <v>48</v>
      </c>
      <c r="B39">
        <f t="shared" si="0"/>
        <v>96</v>
      </c>
      <c r="J39">
        <v>20</v>
      </c>
    </row>
    <row r="40" spans="1:10" x14ac:dyDescent="0.3">
      <c r="J40">
        <v>21</v>
      </c>
    </row>
    <row r="41" spans="1:10" x14ac:dyDescent="0.3">
      <c r="J41">
        <v>22</v>
      </c>
    </row>
    <row r="42" spans="1:10" x14ac:dyDescent="0.3">
      <c r="J42">
        <v>23</v>
      </c>
    </row>
    <row r="43" spans="1:10" x14ac:dyDescent="0.3">
      <c r="J43">
        <v>24</v>
      </c>
    </row>
    <row r="44" spans="1:10" x14ac:dyDescent="0.3">
      <c r="J44">
        <v>25</v>
      </c>
    </row>
    <row r="45" spans="1:10" x14ac:dyDescent="0.3">
      <c r="J45">
        <v>26</v>
      </c>
    </row>
    <row r="46" spans="1:10" x14ac:dyDescent="0.3">
      <c r="J46">
        <v>27</v>
      </c>
    </row>
    <row r="47" spans="1:10" x14ac:dyDescent="0.3">
      <c r="J47">
        <v>28</v>
      </c>
    </row>
    <row r="48" spans="1:10" x14ac:dyDescent="0.3">
      <c r="J48">
        <v>29</v>
      </c>
    </row>
    <row r="49" spans="10:10" x14ac:dyDescent="0.3">
      <c r="J49">
        <v>30</v>
      </c>
    </row>
  </sheetData>
  <sortState ref="A10:F39">
    <sortCondition ref="A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62"/>
  <sheetViews>
    <sheetView workbookViewId="0">
      <selection activeCell="J63" sqref="J63"/>
    </sheetView>
  </sheetViews>
  <sheetFormatPr defaultRowHeight="14.4" x14ac:dyDescent="0.3"/>
  <cols>
    <col min="2" max="2" width="11.109375" bestFit="1" customWidth="1"/>
    <col min="3" max="3" width="17.88671875" customWidth="1"/>
    <col min="4" max="4" width="14.5546875" customWidth="1"/>
    <col min="5" max="5" width="13.109375" customWidth="1"/>
    <col min="6" max="6" width="13.33203125" customWidth="1"/>
    <col min="7" max="7" width="14.109375" customWidth="1"/>
  </cols>
  <sheetData>
    <row r="1" spans="1:22" x14ac:dyDescent="0.3">
      <c r="A1">
        <v>1</v>
      </c>
    </row>
    <row r="3" spans="1:22" x14ac:dyDescent="0.3">
      <c r="D3">
        <v>1</v>
      </c>
    </row>
    <row r="4" spans="1:22" x14ac:dyDescent="0.3">
      <c r="D4">
        <v>2</v>
      </c>
    </row>
    <row r="5" spans="1:22" x14ac:dyDescent="0.3">
      <c r="D5">
        <v>3</v>
      </c>
      <c r="M5">
        <f>Sheet1!U5</f>
        <v>0</v>
      </c>
    </row>
    <row r="6" spans="1:22" x14ac:dyDescent="0.3">
      <c r="D6">
        <v>4</v>
      </c>
    </row>
    <row r="7" spans="1:22" x14ac:dyDescent="0.3">
      <c r="D7">
        <v>5</v>
      </c>
      <c r="T7">
        <v>1</v>
      </c>
      <c r="V7" s="41">
        <v>2.199074074074074E-4</v>
      </c>
    </row>
    <row r="8" spans="1:22" x14ac:dyDescent="0.3">
      <c r="D8">
        <v>12</v>
      </c>
    </row>
    <row r="9" spans="1:22" x14ac:dyDescent="0.3">
      <c r="D9">
        <f>IF(SUM(D3:D8)&gt;=21,IF(SUM(D3:D8)+20&gt;45,(SUM(D3:D8)+PRODUCT(D3:D8)),SUM(D3:D8)),SUM(D3:D8)-10)</f>
        <v>1467</v>
      </c>
    </row>
    <row r="11" spans="1:22" x14ac:dyDescent="0.3">
      <c r="M11" t="str">
        <f t="shared" ref="M11:M17" si="0">INDEX(A20:J63,INDEX(I20:J63,MATCH(J20,J:J,0),1),2)</f>
        <v>QuintaMica</v>
      </c>
    </row>
    <row r="12" spans="1:22" x14ac:dyDescent="0.3">
      <c r="M12" t="str">
        <f t="shared" si="0"/>
        <v>QuintaMare</v>
      </c>
    </row>
    <row r="13" spans="1:22" x14ac:dyDescent="0.3">
      <c r="C13" t="e">
        <f>INDEX(Jocuri,1,ROWS($B$1:b))</f>
        <v>#NAME?</v>
      </c>
      <c r="M13" t="str">
        <f t="shared" si="0"/>
        <v>Care</v>
      </c>
    </row>
    <row r="14" spans="1:22" x14ac:dyDescent="0.3">
      <c r="M14" t="str">
        <f t="shared" si="0"/>
        <v>Yamms</v>
      </c>
    </row>
    <row r="15" spans="1:22" x14ac:dyDescent="0.3">
      <c r="M15">
        <f t="shared" si="0"/>
        <v>0</v>
      </c>
    </row>
    <row r="16" spans="1:22" x14ac:dyDescent="0.3">
      <c r="M16">
        <f t="shared" si="0"/>
        <v>0</v>
      </c>
    </row>
    <row r="17" spans="1:15" x14ac:dyDescent="0.3">
      <c r="M17">
        <f t="shared" si="0"/>
        <v>0</v>
      </c>
    </row>
    <row r="18" spans="1:15" x14ac:dyDescent="0.3">
      <c r="B18" s="45" t="s">
        <v>38</v>
      </c>
      <c r="C18" s="45" t="s">
        <v>41</v>
      </c>
      <c r="D18" t="s">
        <v>39</v>
      </c>
      <c r="E18" t="s">
        <v>40</v>
      </c>
      <c r="F18" t="s">
        <v>72</v>
      </c>
      <c r="G18" t="s">
        <v>73</v>
      </c>
      <c r="J18" t="s">
        <v>74</v>
      </c>
      <c r="K18" t="s">
        <v>37</v>
      </c>
    </row>
    <row r="19" spans="1:15" x14ac:dyDescent="0.3">
      <c r="A19">
        <v>1</v>
      </c>
      <c r="B19" t="s">
        <v>41</v>
      </c>
      <c r="C19" t="s">
        <v>50</v>
      </c>
      <c r="D19">
        <v>12345</v>
      </c>
      <c r="E19">
        <v>23456</v>
      </c>
      <c r="F19">
        <v>1111</v>
      </c>
      <c r="G19">
        <v>11111</v>
      </c>
      <c r="I19" s="39">
        <v>1</v>
      </c>
      <c r="J19" t="s">
        <v>50</v>
      </c>
      <c r="K19">
        <v>17</v>
      </c>
      <c r="O19" t="str">
        <f>INDEX($A$19:$J$62,INDEX($I$19:$J$62,MATCH(J19,$J$19:$J$62,0),1),2)</f>
        <v>Ful</v>
      </c>
    </row>
    <row r="20" spans="1:15" x14ac:dyDescent="0.3">
      <c r="A20">
        <v>2</v>
      </c>
      <c r="B20" t="s">
        <v>39</v>
      </c>
      <c r="C20" t="s">
        <v>42</v>
      </c>
      <c r="F20">
        <v>2222</v>
      </c>
      <c r="G20">
        <v>22222</v>
      </c>
      <c r="I20" s="39">
        <v>1</v>
      </c>
      <c r="J20" t="s">
        <v>42</v>
      </c>
      <c r="K20">
        <v>19</v>
      </c>
      <c r="O20" t="str">
        <f t="shared" ref="O20:O62" si="1">INDEX($A$19:$J$62,INDEX($I$19:$J$62,MATCH(J20,$J$19:$J$62,0),1),2)</f>
        <v>Ful</v>
      </c>
    </row>
    <row r="21" spans="1:15" x14ac:dyDescent="0.3">
      <c r="A21">
        <v>3</v>
      </c>
      <c r="B21" t="s">
        <v>40</v>
      </c>
      <c r="C21" t="s">
        <v>43</v>
      </c>
      <c r="F21">
        <v>3333</v>
      </c>
      <c r="G21">
        <v>33333</v>
      </c>
      <c r="I21" s="39">
        <v>1</v>
      </c>
      <c r="J21" t="s">
        <v>43</v>
      </c>
      <c r="K21">
        <v>21</v>
      </c>
      <c r="M21" t="e">
        <f>MATCH(Ful,I19:J62,0)</f>
        <v>#N/A</v>
      </c>
      <c r="O21" t="str">
        <f t="shared" si="1"/>
        <v>Ful</v>
      </c>
    </row>
    <row r="22" spans="1:15" x14ac:dyDescent="0.3">
      <c r="A22">
        <v>4</v>
      </c>
      <c r="B22" t="s">
        <v>72</v>
      </c>
      <c r="C22" t="s">
        <v>44</v>
      </c>
      <c r="F22">
        <v>4444</v>
      </c>
      <c r="G22">
        <v>44444</v>
      </c>
      <c r="I22" s="39">
        <v>1</v>
      </c>
      <c r="J22" t="s">
        <v>44</v>
      </c>
      <c r="K22">
        <v>23</v>
      </c>
      <c r="O22" t="str">
        <f t="shared" si="1"/>
        <v>Ful</v>
      </c>
    </row>
    <row r="23" spans="1:15" x14ac:dyDescent="0.3">
      <c r="A23">
        <v>5</v>
      </c>
      <c r="B23" t="s">
        <v>73</v>
      </c>
      <c r="C23" t="s">
        <v>45</v>
      </c>
      <c r="F23">
        <v>5555</v>
      </c>
      <c r="G23">
        <v>55555</v>
      </c>
      <c r="I23" s="39">
        <v>1</v>
      </c>
      <c r="J23" t="s">
        <v>45</v>
      </c>
      <c r="K23">
        <v>25</v>
      </c>
      <c r="O23" t="str">
        <f t="shared" si="1"/>
        <v>Ful</v>
      </c>
    </row>
    <row r="24" spans="1:15" x14ac:dyDescent="0.3">
      <c r="C24" t="s">
        <v>46</v>
      </c>
      <c r="F24">
        <v>6666</v>
      </c>
      <c r="G24">
        <v>66666</v>
      </c>
      <c r="I24" s="39">
        <v>1</v>
      </c>
      <c r="J24" t="s">
        <v>46</v>
      </c>
      <c r="K24">
        <v>18</v>
      </c>
      <c r="O24" t="str">
        <f t="shared" si="1"/>
        <v>Ful</v>
      </c>
    </row>
    <row r="25" spans="1:15" x14ac:dyDescent="0.3">
      <c r="C25" t="s">
        <v>47</v>
      </c>
      <c r="I25" s="39">
        <v>1</v>
      </c>
      <c r="J25" t="s">
        <v>47</v>
      </c>
      <c r="K25">
        <v>22</v>
      </c>
      <c r="O25" t="str">
        <f t="shared" si="1"/>
        <v>Ful</v>
      </c>
    </row>
    <row r="26" spans="1:15" x14ac:dyDescent="0.3">
      <c r="C26" t="s">
        <v>48</v>
      </c>
      <c r="I26" s="39">
        <v>1</v>
      </c>
      <c r="J26" t="s">
        <v>48</v>
      </c>
      <c r="K26">
        <v>24</v>
      </c>
      <c r="O26" t="str">
        <f t="shared" si="1"/>
        <v>Ful</v>
      </c>
    </row>
    <row r="27" spans="1:15" x14ac:dyDescent="0.3">
      <c r="C27" t="s">
        <v>51</v>
      </c>
      <c r="I27" s="39">
        <v>1</v>
      </c>
      <c r="J27" t="s">
        <v>51</v>
      </c>
      <c r="K27">
        <v>26</v>
      </c>
      <c r="O27" t="str">
        <f t="shared" si="1"/>
        <v>Ful</v>
      </c>
    </row>
    <row r="28" spans="1:15" x14ac:dyDescent="0.3">
      <c r="C28" t="s">
        <v>49</v>
      </c>
      <c r="I28" s="39">
        <v>1</v>
      </c>
      <c r="J28" t="s">
        <v>49</v>
      </c>
      <c r="K28">
        <v>28</v>
      </c>
      <c r="O28" t="str">
        <f t="shared" si="1"/>
        <v>Ful</v>
      </c>
    </row>
    <row r="29" spans="1:15" x14ac:dyDescent="0.3">
      <c r="C29" t="s">
        <v>52</v>
      </c>
      <c r="I29" s="39">
        <v>1</v>
      </c>
      <c r="J29" t="s">
        <v>52</v>
      </c>
      <c r="K29">
        <v>21</v>
      </c>
      <c r="O29" t="str">
        <f t="shared" si="1"/>
        <v>Ful</v>
      </c>
    </row>
    <row r="30" spans="1:15" x14ac:dyDescent="0.3">
      <c r="C30" t="s">
        <v>53</v>
      </c>
      <c r="I30" s="39">
        <v>1</v>
      </c>
      <c r="J30" t="s">
        <v>53</v>
      </c>
      <c r="K30">
        <v>23</v>
      </c>
      <c r="O30" t="str">
        <f t="shared" si="1"/>
        <v>Ful</v>
      </c>
    </row>
    <row r="31" spans="1:15" x14ac:dyDescent="0.3">
      <c r="C31" t="s">
        <v>54</v>
      </c>
      <c r="I31" s="39">
        <v>1</v>
      </c>
      <c r="J31" t="s">
        <v>54</v>
      </c>
      <c r="K31">
        <v>27</v>
      </c>
      <c r="O31" t="str">
        <f t="shared" si="1"/>
        <v>Ful</v>
      </c>
    </row>
    <row r="32" spans="1:15" x14ac:dyDescent="0.3">
      <c r="C32" t="s">
        <v>55</v>
      </c>
      <c r="I32" s="39">
        <v>1</v>
      </c>
      <c r="J32" t="s">
        <v>55</v>
      </c>
      <c r="K32">
        <v>29</v>
      </c>
      <c r="O32" t="str">
        <f t="shared" si="1"/>
        <v>Ful</v>
      </c>
    </row>
    <row r="33" spans="3:15" x14ac:dyDescent="0.3">
      <c r="C33" t="s">
        <v>56</v>
      </c>
      <c r="I33" s="39">
        <v>1</v>
      </c>
      <c r="J33" t="s">
        <v>56</v>
      </c>
      <c r="K33">
        <v>31</v>
      </c>
      <c r="O33" t="str">
        <f t="shared" si="1"/>
        <v>Ful</v>
      </c>
    </row>
    <row r="34" spans="3:15" x14ac:dyDescent="0.3">
      <c r="C34" t="s">
        <v>57</v>
      </c>
      <c r="I34" s="39">
        <v>1</v>
      </c>
      <c r="J34" t="s">
        <v>57</v>
      </c>
      <c r="K34">
        <v>24</v>
      </c>
      <c r="N34" s="75" t="e">
        <f>INDEX(I19:J62,MATCH(Ful,I19:J62,0),1)</f>
        <v>#N/A</v>
      </c>
      <c r="O34" t="str">
        <f t="shared" si="1"/>
        <v>Ful</v>
      </c>
    </row>
    <row r="35" spans="3:15" x14ac:dyDescent="0.3">
      <c r="C35" t="s">
        <v>58</v>
      </c>
      <c r="I35" s="39">
        <v>1</v>
      </c>
      <c r="J35" t="s">
        <v>58</v>
      </c>
      <c r="K35">
        <v>26</v>
      </c>
      <c r="O35" t="str">
        <f t="shared" si="1"/>
        <v>Ful</v>
      </c>
    </row>
    <row r="36" spans="3:15" x14ac:dyDescent="0.3">
      <c r="C36" t="s">
        <v>59</v>
      </c>
      <c r="I36" s="39">
        <v>1</v>
      </c>
      <c r="J36" t="s">
        <v>59</v>
      </c>
      <c r="K36">
        <v>28</v>
      </c>
      <c r="O36" t="str">
        <f t="shared" si="1"/>
        <v>Ful</v>
      </c>
    </row>
    <row r="37" spans="3:15" x14ac:dyDescent="0.3">
      <c r="C37" t="s">
        <v>60</v>
      </c>
      <c r="I37" s="39">
        <v>1</v>
      </c>
      <c r="J37" t="s">
        <v>60</v>
      </c>
      <c r="K37">
        <v>32</v>
      </c>
      <c r="O37" t="str">
        <f t="shared" si="1"/>
        <v>Ful</v>
      </c>
    </row>
    <row r="38" spans="3:15" x14ac:dyDescent="0.3">
      <c r="C38" t="s">
        <v>61</v>
      </c>
      <c r="I38" s="39">
        <v>1</v>
      </c>
      <c r="J38" t="s">
        <v>61</v>
      </c>
      <c r="K38">
        <v>34</v>
      </c>
      <c r="O38" t="str">
        <f t="shared" si="1"/>
        <v>Ful</v>
      </c>
    </row>
    <row r="39" spans="3:15" x14ac:dyDescent="0.3">
      <c r="C39" t="s">
        <v>62</v>
      </c>
      <c r="I39" s="39">
        <v>1</v>
      </c>
      <c r="J39" t="s">
        <v>62</v>
      </c>
      <c r="K39">
        <v>27</v>
      </c>
      <c r="O39" t="str">
        <f t="shared" si="1"/>
        <v>Ful</v>
      </c>
    </row>
    <row r="40" spans="3:15" x14ac:dyDescent="0.3">
      <c r="C40" t="s">
        <v>63</v>
      </c>
      <c r="I40" s="39">
        <v>1</v>
      </c>
      <c r="J40" t="s">
        <v>63</v>
      </c>
      <c r="K40">
        <v>29</v>
      </c>
      <c r="O40" t="str">
        <f t="shared" si="1"/>
        <v>Ful</v>
      </c>
    </row>
    <row r="41" spans="3:15" x14ac:dyDescent="0.3">
      <c r="C41" t="s">
        <v>64</v>
      </c>
      <c r="I41" s="39">
        <v>1</v>
      </c>
      <c r="J41" t="s">
        <v>64</v>
      </c>
      <c r="K41">
        <v>31</v>
      </c>
      <c r="O41" t="str">
        <f t="shared" si="1"/>
        <v>Ful</v>
      </c>
    </row>
    <row r="42" spans="3:15" x14ac:dyDescent="0.3">
      <c r="C42" t="s">
        <v>65</v>
      </c>
      <c r="I42" s="39">
        <v>1</v>
      </c>
      <c r="J42" t="s">
        <v>65</v>
      </c>
      <c r="K42">
        <v>33</v>
      </c>
      <c r="O42" t="str">
        <f t="shared" si="1"/>
        <v>Ful</v>
      </c>
    </row>
    <row r="43" spans="3:15" x14ac:dyDescent="0.3">
      <c r="C43" t="s">
        <v>66</v>
      </c>
      <c r="I43" s="39">
        <v>1</v>
      </c>
      <c r="J43" t="s">
        <v>66</v>
      </c>
      <c r="K43">
        <v>37</v>
      </c>
      <c r="O43" t="str">
        <f t="shared" si="1"/>
        <v>Ful</v>
      </c>
    </row>
    <row r="44" spans="3:15" x14ac:dyDescent="0.3">
      <c r="C44" t="s">
        <v>67</v>
      </c>
      <c r="I44" s="39">
        <v>1</v>
      </c>
      <c r="J44" t="s">
        <v>67</v>
      </c>
      <c r="K44">
        <v>30</v>
      </c>
      <c r="O44" t="str">
        <f t="shared" si="1"/>
        <v>Ful</v>
      </c>
    </row>
    <row r="45" spans="3:15" x14ac:dyDescent="0.3">
      <c r="C45" t="s">
        <v>68</v>
      </c>
      <c r="I45" s="39">
        <v>1</v>
      </c>
      <c r="J45" t="s">
        <v>68</v>
      </c>
      <c r="K45">
        <v>32</v>
      </c>
      <c r="O45" t="str">
        <f t="shared" si="1"/>
        <v>Ful</v>
      </c>
    </row>
    <row r="46" spans="3:15" x14ac:dyDescent="0.3">
      <c r="C46" t="s">
        <v>69</v>
      </c>
      <c r="I46" s="39">
        <v>1</v>
      </c>
      <c r="J46" t="s">
        <v>69</v>
      </c>
      <c r="K46">
        <v>34</v>
      </c>
      <c r="O46" t="str">
        <f t="shared" si="1"/>
        <v>Ful</v>
      </c>
    </row>
    <row r="47" spans="3:15" x14ac:dyDescent="0.3">
      <c r="C47" t="s">
        <v>70</v>
      </c>
      <c r="I47" s="39">
        <v>1</v>
      </c>
      <c r="J47" t="s">
        <v>70</v>
      </c>
      <c r="K47">
        <v>36</v>
      </c>
      <c r="O47" t="str">
        <f t="shared" si="1"/>
        <v>Ful</v>
      </c>
    </row>
    <row r="48" spans="3:15" x14ac:dyDescent="0.3">
      <c r="C48" t="s">
        <v>71</v>
      </c>
      <c r="I48" s="39">
        <v>1</v>
      </c>
      <c r="J48" t="s">
        <v>71</v>
      </c>
      <c r="K48">
        <v>38</v>
      </c>
      <c r="O48" t="str">
        <f t="shared" si="1"/>
        <v>Ful</v>
      </c>
    </row>
    <row r="49" spans="3:15" x14ac:dyDescent="0.3">
      <c r="C49" s="73" t="s">
        <v>78</v>
      </c>
      <c r="I49">
        <v>2</v>
      </c>
      <c r="J49" s="73" t="s">
        <v>76</v>
      </c>
      <c r="K49">
        <v>35</v>
      </c>
      <c r="O49" t="str">
        <f t="shared" si="1"/>
        <v>QuintaMica</v>
      </c>
    </row>
    <row r="50" spans="3:15" x14ac:dyDescent="0.3">
      <c r="C50" s="73" t="s">
        <v>78</v>
      </c>
      <c r="I50">
        <v>3</v>
      </c>
      <c r="J50" s="73" t="s">
        <v>77</v>
      </c>
      <c r="K50">
        <v>50</v>
      </c>
      <c r="O50" t="str">
        <f t="shared" si="1"/>
        <v>QuintaMare</v>
      </c>
    </row>
    <row r="51" spans="3:15" x14ac:dyDescent="0.3">
      <c r="C51" s="73" t="s">
        <v>78</v>
      </c>
      <c r="I51" s="39">
        <v>4</v>
      </c>
      <c r="J51" s="73" t="s">
        <v>79</v>
      </c>
      <c r="K51">
        <v>24</v>
      </c>
      <c r="O51" t="str">
        <f t="shared" si="1"/>
        <v>Care</v>
      </c>
    </row>
    <row r="52" spans="3:15" x14ac:dyDescent="0.3">
      <c r="C52" s="73" t="s">
        <v>78</v>
      </c>
      <c r="I52" s="39">
        <v>4</v>
      </c>
      <c r="J52" s="73" t="s">
        <v>80</v>
      </c>
      <c r="K52">
        <v>28</v>
      </c>
      <c r="O52" t="str">
        <f t="shared" si="1"/>
        <v>Care</v>
      </c>
    </row>
    <row r="53" spans="3:15" x14ac:dyDescent="0.3">
      <c r="C53" s="73" t="s">
        <v>78</v>
      </c>
      <c r="I53" s="39">
        <v>4</v>
      </c>
      <c r="J53" s="73" t="s">
        <v>81</v>
      </c>
      <c r="K53">
        <v>32</v>
      </c>
      <c r="O53" t="str">
        <f t="shared" si="1"/>
        <v>Care</v>
      </c>
    </row>
    <row r="54" spans="3:15" x14ac:dyDescent="0.3">
      <c r="C54" s="73" t="s">
        <v>78</v>
      </c>
      <c r="I54" s="39">
        <v>4</v>
      </c>
      <c r="J54" s="73" t="s">
        <v>82</v>
      </c>
      <c r="K54">
        <v>36</v>
      </c>
      <c r="O54" t="str">
        <f t="shared" si="1"/>
        <v>Care</v>
      </c>
    </row>
    <row r="55" spans="3:15" x14ac:dyDescent="0.3">
      <c r="C55" s="73" t="s">
        <v>78</v>
      </c>
      <c r="I55" s="39">
        <v>4</v>
      </c>
      <c r="J55" s="73" t="s">
        <v>83</v>
      </c>
      <c r="K55">
        <v>40</v>
      </c>
      <c r="O55" t="str">
        <f t="shared" si="1"/>
        <v>Care</v>
      </c>
    </row>
    <row r="56" spans="3:15" x14ac:dyDescent="0.3">
      <c r="C56" s="73" t="s">
        <v>78</v>
      </c>
      <c r="I56" s="39">
        <v>4</v>
      </c>
      <c r="J56" s="73" t="s">
        <v>84</v>
      </c>
      <c r="K56">
        <v>44</v>
      </c>
      <c r="O56" t="str">
        <f t="shared" si="1"/>
        <v>Care</v>
      </c>
    </row>
    <row r="57" spans="3:15" x14ac:dyDescent="0.3">
      <c r="C57" s="73" t="s">
        <v>78</v>
      </c>
      <c r="I57" s="39">
        <v>5</v>
      </c>
      <c r="J57" s="73" t="s">
        <v>85</v>
      </c>
      <c r="K57">
        <v>75</v>
      </c>
      <c r="O57" t="str">
        <f t="shared" si="1"/>
        <v>Yamms</v>
      </c>
    </row>
    <row r="58" spans="3:15" x14ac:dyDescent="0.3">
      <c r="C58" s="73" t="s">
        <v>78</v>
      </c>
      <c r="I58" s="39">
        <v>5</v>
      </c>
      <c r="J58" s="73" t="s">
        <v>86</v>
      </c>
      <c r="K58">
        <v>80</v>
      </c>
      <c r="O58" t="str">
        <f t="shared" si="1"/>
        <v>Yamms</v>
      </c>
    </row>
    <row r="59" spans="3:15" x14ac:dyDescent="0.3">
      <c r="C59" s="73" t="s">
        <v>78</v>
      </c>
      <c r="I59" s="39">
        <v>5</v>
      </c>
      <c r="J59" s="73" t="s">
        <v>87</v>
      </c>
      <c r="K59">
        <v>85</v>
      </c>
      <c r="O59" t="str">
        <f t="shared" si="1"/>
        <v>Yamms</v>
      </c>
    </row>
    <row r="60" spans="3:15" x14ac:dyDescent="0.3">
      <c r="C60" s="73" t="s">
        <v>78</v>
      </c>
      <c r="I60" s="39">
        <v>5</v>
      </c>
      <c r="J60" s="73" t="s">
        <v>88</v>
      </c>
      <c r="K60">
        <v>90</v>
      </c>
      <c r="O60" t="str">
        <f t="shared" si="1"/>
        <v>Yamms</v>
      </c>
    </row>
    <row r="61" spans="3:15" x14ac:dyDescent="0.3">
      <c r="C61" s="73" t="s">
        <v>78</v>
      </c>
      <c r="I61" s="39">
        <v>5</v>
      </c>
      <c r="J61" s="73" t="s">
        <v>89</v>
      </c>
      <c r="K61">
        <v>95</v>
      </c>
      <c r="O61" t="str">
        <f t="shared" si="1"/>
        <v>Yamms</v>
      </c>
    </row>
    <row r="62" spans="3:15" x14ac:dyDescent="0.3">
      <c r="C62" s="73" t="s">
        <v>78</v>
      </c>
      <c r="I62" s="39">
        <v>5</v>
      </c>
      <c r="J62" s="73" t="s">
        <v>90</v>
      </c>
      <c r="K62">
        <v>100</v>
      </c>
      <c r="O62" t="str">
        <f t="shared" si="1"/>
        <v>Yamms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7</xdr:col>
                <xdr:colOff>60960</xdr:colOff>
                <xdr:row>7</xdr:row>
                <xdr:rowOff>137160</xdr:rowOff>
              </from>
              <to>
                <xdr:col>10</xdr:col>
                <xdr:colOff>60960</xdr:colOff>
                <xdr:row>13</xdr:row>
                <xdr:rowOff>30480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6</xdr:col>
                <xdr:colOff>541020</xdr:colOff>
                <xdr:row>2</xdr:row>
                <xdr:rowOff>175260</xdr:rowOff>
              </from>
              <to>
                <xdr:col>9</xdr:col>
                <xdr:colOff>281940</xdr:colOff>
                <xdr:row>6</xdr:row>
                <xdr:rowOff>83820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5"/>
  <sheetViews>
    <sheetView topLeftCell="A11" workbookViewId="0">
      <selection activeCell="B27" sqref="B27:B28"/>
    </sheetView>
  </sheetViews>
  <sheetFormatPr defaultRowHeight="14.4" x14ac:dyDescent="0.3"/>
  <cols>
    <col min="1" max="1" width="21.21875" customWidth="1"/>
    <col min="3" max="3" width="16.44140625" customWidth="1"/>
    <col min="4" max="4" width="17.77734375" customWidth="1"/>
    <col min="5" max="5" width="21.33203125" customWidth="1"/>
    <col min="6" max="6" width="15.44140625" customWidth="1"/>
    <col min="7" max="7" width="16.77734375" customWidth="1"/>
  </cols>
  <sheetData>
    <row r="1" spans="1:12" x14ac:dyDescent="0.3">
      <c r="A1">
        <v>11</v>
      </c>
      <c r="C1" t="s">
        <v>74</v>
      </c>
    </row>
    <row r="2" spans="1:12" x14ac:dyDescent="0.3">
      <c r="C2" t="s">
        <v>50</v>
      </c>
      <c r="D2">
        <f ca="1">IF(ISNUMBER(SEARCH(INDIRECT(CELL("address")),C2)),MAX($D$1:D1)+1,0)</f>
        <v>1</v>
      </c>
      <c r="E2" t="str">
        <f ca="1">IFERROR(INDEX(C2:D45,MATCH(ROWS($E$1:E1),D2:D45,0),1),"")</f>
        <v>111&amp;&amp;22</v>
      </c>
      <c r="F2" t="s">
        <v>45</v>
      </c>
    </row>
    <row r="3" spans="1:12" x14ac:dyDescent="0.3">
      <c r="C3" t="s">
        <v>42</v>
      </c>
      <c r="D3">
        <f ca="1">IF(ISNUMBER(SEARCH(INDIRECT(CELL("address")),C3)),MAX($D$1:D2)+1,0)</f>
        <v>2</v>
      </c>
      <c r="E3" t="str">
        <f ca="1">IFERROR(INDEX(C3:D46,MATCH(ROWS($E$1:E2),D3:D46,0),1),"")</f>
        <v>111&amp;&amp;33</v>
      </c>
    </row>
    <row r="4" spans="1:12" x14ac:dyDescent="0.3">
      <c r="C4" t="s">
        <v>43</v>
      </c>
      <c r="D4">
        <f ca="1">IF(ISNUMBER(SEARCH(INDIRECT(CELL("address")),C4)),MAX($D$1:D3)+1,0)</f>
        <v>3</v>
      </c>
      <c r="E4" t="str">
        <f ca="1">IFERROR(INDEX(C4:D47,MATCH(ROWS($E$1:E3),D4:D47,0),1),"")</f>
        <v>111&amp;&amp;44</v>
      </c>
      <c r="K4">
        <v>2</v>
      </c>
    </row>
    <row r="5" spans="1:12" x14ac:dyDescent="0.3">
      <c r="C5" t="s">
        <v>44</v>
      </c>
      <c r="D5">
        <f ca="1">IF(ISNUMBER(SEARCH(INDIRECT(CELL("address")),C5)),MAX($D$1:D4)+1,0)</f>
        <v>4</v>
      </c>
      <c r="E5" t="str">
        <f ca="1">IFERROR(INDEX(C5:D48,MATCH(ROWS($E$1:E4),D5:D48,0),1),"")</f>
        <v>111&amp;&amp;55</v>
      </c>
    </row>
    <row r="6" spans="1:12" x14ac:dyDescent="0.3">
      <c r="C6" t="s">
        <v>45</v>
      </c>
      <c r="D6">
        <f ca="1">IF(ISNUMBER(SEARCH(INDIRECT(CELL("address")),C6)),MAX($D$1:D5)+1,0)</f>
        <v>5</v>
      </c>
      <c r="E6" t="str">
        <f ca="1">IFERROR(INDEX(C6:D49,MATCH(ROWS($E$1:E5),D6:D49,0),1),"")</f>
        <v>111&amp;&amp;66</v>
      </c>
    </row>
    <row r="7" spans="1:12" x14ac:dyDescent="0.3">
      <c r="C7" t="s">
        <v>46</v>
      </c>
      <c r="D7">
        <f ca="1">IF(ISNUMBER(SEARCH(INDIRECT(CELL("address")),C7)),MAX($D$1:D6)+1,0)</f>
        <v>6</v>
      </c>
      <c r="E7" t="str">
        <f ca="1">IFERROR(INDEX(C7:D50,MATCH(ROWS($E$1:E6),D7:D50,0),1),"")</f>
        <v>222&amp;&amp;11</v>
      </c>
      <c r="K7">
        <v>3</v>
      </c>
      <c r="L7">
        <v>4</v>
      </c>
    </row>
    <row r="8" spans="1:12" x14ac:dyDescent="0.3">
      <c r="C8" t="s">
        <v>47</v>
      </c>
      <c r="D8">
        <f ca="1">IF(ISNUMBER(SEARCH(INDIRECT(CELL("address")),C8)),MAX($D$1:D7)+1,0)</f>
        <v>7</v>
      </c>
      <c r="E8" t="str">
        <f ca="1">IFERROR(INDEX(C8:D51,MATCH(ROWS($E$1:E7),D8:D51,0),1),"")</f>
        <v>222&amp;&amp;33</v>
      </c>
    </row>
    <row r="9" spans="1:12" x14ac:dyDescent="0.3">
      <c r="C9" t="s">
        <v>48</v>
      </c>
      <c r="D9">
        <f ca="1">IF(ISNUMBER(SEARCH(INDIRECT(CELL("address")),C9)),MAX($D$1:D8)+1,0)</f>
        <v>8</v>
      </c>
      <c r="E9" t="str">
        <f ca="1">IFERROR(INDEX(C9:D52,MATCH(ROWS($E$1:E8),D9:D52,0),1),"")</f>
        <v>222&amp;&amp;44</v>
      </c>
    </row>
    <row r="10" spans="1:12" x14ac:dyDescent="0.3">
      <c r="C10" t="s">
        <v>51</v>
      </c>
      <c r="D10">
        <f ca="1">IF(ISNUMBER(SEARCH(INDIRECT(CELL("address")),C10)),MAX($D$1:D9)+1,0)</f>
        <v>9</v>
      </c>
      <c r="E10" t="str">
        <f ca="1">IFERROR(INDEX(C10:D53,MATCH(ROWS($E$1:E9),D10:D53,0),1),"")</f>
        <v>222&amp;&amp;55</v>
      </c>
      <c r="J10">
        <v>3</v>
      </c>
      <c r="L10">
        <v>4</v>
      </c>
    </row>
    <row r="11" spans="1:12" x14ac:dyDescent="0.3">
      <c r="C11" t="s">
        <v>49</v>
      </c>
      <c r="D11">
        <f ca="1">IF(ISNUMBER(SEARCH(INDIRECT(CELL("address")),C11)),MAX($D$1:D10)+1,0)</f>
        <v>10</v>
      </c>
      <c r="E11" t="str">
        <f ca="1">IFERROR(INDEX(C11:D54,MATCH(ROWS($E$1:E10),D11:D54,0),1),"")</f>
        <v>222&amp;&amp;66</v>
      </c>
    </row>
    <row r="12" spans="1:12" x14ac:dyDescent="0.3">
      <c r="C12" t="s">
        <v>52</v>
      </c>
      <c r="D12">
        <f ca="1">IF(ISNUMBER(SEARCH(INDIRECT(CELL("address")),C12)),MAX($D$1:D11)+1,0)</f>
        <v>11</v>
      </c>
      <c r="E12" t="str">
        <f ca="1">IFERROR(INDEX(C12:D55,MATCH(ROWS($E$1:E11),D12:D55,0),1),"")</f>
        <v>333&amp;&amp;11</v>
      </c>
    </row>
    <row r="13" spans="1:12" x14ac:dyDescent="0.3">
      <c r="C13" t="s">
        <v>53</v>
      </c>
      <c r="D13">
        <f ca="1">IF(ISNUMBER(SEARCH(INDIRECT(CELL("address")),C13)),MAX($D$1:D12)+1,0)</f>
        <v>12</v>
      </c>
      <c r="E13" t="str">
        <f ca="1">IFERROR(INDEX(C13:D56,MATCH(ROWS($E$1:E12),D13:D56,0),1),"")</f>
        <v>333&amp;&amp;22</v>
      </c>
    </row>
    <row r="14" spans="1:12" x14ac:dyDescent="0.3">
      <c r="C14" t="s">
        <v>54</v>
      </c>
      <c r="D14">
        <f ca="1">IF(ISNUMBER(SEARCH(INDIRECT(CELL("address")),C14)),MAX($D$1:D13)+1,0)</f>
        <v>13</v>
      </c>
      <c r="E14" t="str">
        <f ca="1">IFERROR(INDEX(C14:D57,MATCH(ROWS($E$1:E13),D14:D57,0),1),"")</f>
        <v>333&amp;&amp;44</v>
      </c>
      <c r="J14">
        <v>5</v>
      </c>
    </row>
    <row r="15" spans="1:12" x14ac:dyDescent="0.3">
      <c r="C15" t="s">
        <v>55</v>
      </c>
      <c r="D15">
        <f ca="1">IF(ISNUMBER(SEARCH(INDIRECT(CELL("address")),C15)),MAX($D$1:D14)+1,0)</f>
        <v>14</v>
      </c>
      <c r="E15" t="str">
        <f ca="1">IFERROR(INDEX(C15:D58,MATCH(ROWS($E$1:E14),D15:D58,0),1),"")</f>
        <v>333&amp;&amp;55</v>
      </c>
    </row>
    <row r="16" spans="1:12" x14ac:dyDescent="0.3">
      <c r="C16" t="s">
        <v>56</v>
      </c>
      <c r="D16">
        <f ca="1">IF(ISNUMBER(SEARCH(INDIRECT(CELL("address")),C16)),MAX($D$1:D15)+1,0)</f>
        <v>15</v>
      </c>
      <c r="E16" t="str">
        <f ca="1">IFERROR(INDEX(C16:D59,MATCH(ROWS($E$1:E15),D16:D59,0),1),"")</f>
        <v>333&amp;&amp;66</v>
      </c>
      <c r="J16">
        <v>3</v>
      </c>
    </row>
    <row r="17" spans="3:5" x14ac:dyDescent="0.3">
      <c r="C17" t="s">
        <v>57</v>
      </c>
      <c r="D17">
        <f ca="1">IF(ISNUMBER(SEARCH(INDIRECT(CELL("address")),C17)),MAX($D$1:D16)+1,0)</f>
        <v>16</v>
      </c>
      <c r="E17" t="str">
        <f ca="1">IFERROR(INDEX(C17:D60,MATCH(ROWS($E$1:E16),D17:D60,0),1),"")</f>
        <v>444&amp;&amp;11</v>
      </c>
    </row>
    <row r="18" spans="3:5" x14ac:dyDescent="0.3">
      <c r="C18" t="s">
        <v>58</v>
      </c>
      <c r="D18">
        <f ca="1">IF(ISNUMBER(SEARCH(INDIRECT(CELL("address")),C18)),MAX($D$1:D17)+1,0)</f>
        <v>17</v>
      </c>
      <c r="E18" t="str">
        <f ca="1">IFERROR(INDEX(C18:D61,MATCH(ROWS($E$1:E17),D18:D61,0),1),"")</f>
        <v>444&amp;&amp;22</v>
      </c>
    </row>
    <row r="19" spans="3:5" x14ac:dyDescent="0.3">
      <c r="C19" t="s">
        <v>59</v>
      </c>
      <c r="D19">
        <f ca="1">IF(ISNUMBER(SEARCH(INDIRECT(CELL("address")),C19)),MAX($D$1:D18)+1,0)</f>
        <v>18</v>
      </c>
      <c r="E19" t="str">
        <f ca="1">IFERROR(INDEX(C19:D62,MATCH(ROWS($E$1:E18),D19:D62,0),1),"")</f>
        <v>444&amp;&amp;33</v>
      </c>
    </row>
    <row r="20" spans="3:5" x14ac:dyDescent="0.3">
      <c r="C20" t="s">
        <v>60</v>
      </c>
      <c r="D20">
        <f ca="1">IF(ISNUMBER(SEARCH(INDIRECT(CELL("address")),C20)),MAX($D$1:D19)+1,0)</f>
        <v>19</v>
      </c>
      <c r="E20" t="str">
        <f ca="1">IFERROR(INDEX(C20:D63,MATCH(ROWS($E$1:E19),D20:D63,0),1),"")</f>
        <v>444&amp;&amp;55</v>
      </c>
    </row>
    <row r="21" spans="3:5" x14ac:dyDescent="0.3">
      <c r="C21" t="s">
        <v>61</v>
      </c>
      <c r="D21">
        <f ca="1">IF(ISNUMBER(SEARCH(INDIRECT(CELL("address")),C21)),MAX($D$1:D20)+1,0)</f>
        <v>20</v>
      </c>
      <c r="E21" t="str">
        <f ca="1">IFERROR(INDEX(C21:D64,MATCH(ROWS($E$1:E20),D21:D64,0),1),"")</f>
        <v>444&amp;&amp;66</v>
      </c>
    </row>
    <row r="22" spans="3:5" x14ac:dyDescent="0.3">
      <c r="C22" t="s">
        <v>62</v>
      </c>
      <c r="D22">
        <f ca="1">IF(ISNUMBER(SEARCH(INDIRECT(CELL("address")),C22)),MAX($D$1:D21)+1,0)</f>
        <v>21</v>
      </c>
      <c r="E22" t="str">
        <f ca="1">IFERROR(INDEX(C22:D65,MATCH(ROWS($E$1:E21),D22:D65,0),1),"")</f>
        <v>555&amp;&amp;11</v>
      </c>
    </row>
    <row r="23" spans="3:5" x14ac:dyDescent="0.3">
      <c r="C23" t="s">
        <v>63</v>
      </c>
      <c r="D23">
        <f ca="1">IF(ISNUMBER(SEARCH(INDIRECT(CELL("address")),C23)),MAX($D$1:D22)+1,0)</f>
        <v>22</v>
      </c>
      <c r="E23" t="str">
        <f ca="1">IFERROR(INDEX(C23:D66,MATCH(ROWS($E$1:E22),D23:D66,0),1),"")</f>
        <v>555&amp;&amp;22</v>
      </c>
    </row>
    <row r="24" spans="3:5" x14ac:dyDescent="0.3">
      <c r="C24" t="s">
        <v>64</v>
      </c>
      <c r="D24">
        <f ca="1">IF(ISNUMBER(SEARCH(INDIRECT(CELL("address")),C24)),MAX($D$1:D23)+1,0)</f>
        <v>23</v>
      </c>
      <c r="E24" t="str">
        <f ca="1">IFERROR(INDEX(C24:D67,MATCH(ROWS($E$1:E23),D24:D67,0),1),"")</f>
        <v>555&amp;&amp;33</v>
      </c>
    </row>
    <row r="25" spans="3:5" x14ac:dyDescent="0.3">
      <c r="C25" t="s">
        <v>65</v>
      </c>
      <c r="D25">
        <f ca="1">IF(ISNUMBER(SEARCH(INDIRECT(CELL("address")),C25)),MAX($D$1:D24)+1,0)</f>
        <v>24</v>
      </c>
      <c r="E25" t="str">
        <f ca="1">IFERROR(INDEX(C25:D68,MATCH(ROWS($E$1:E24),D25:D68,0),1),"")</f>
        <v>555&amp;&amp;44</v>
      </c>
    </row>
    <row r="26" spans="3:5" x14ac:dyDescent="0.3">
      <c r="C26" t="s">
        <v>66</v>
      </c>
      <c r="D26">
        <f ca="1">IF(ISNUMBER(SEARCH(INDIRECT(CELL("address")),C26)),MAX($D$1:D25)+1,0)</f>
        <v>25</v>
      </c>
      <c r="E26" t="str">
        <f ca="1">IFERROR(INDEX(C26:D69,MATCH(ROWS($E$1:E25),D26:D69,0),1),"")</f>
        <v>555&amp;&amp;66</v>
      </c>
    </row>
    <row r="27" spans="3:5" x14ac:dyDescent="0.3">
      <c r="C27" t="s">
        <v>67</v>
      </c>
      <c r="D27">
        <f ca="1">IF(ISNUMBER(SEARCH(INDIRECT(CELL("address")),C27)),MAX($D$1:D26)+1,0)</f>
        <v>26</v>
      </c>
      <c r="E27" t="str">
        <f ca="1">IFERROR(INDEX(C27:D70,MATCH(ROWS($E$1:E26),D27:D70,0),1),"")</f>
        <v>666&amp;&amp;11</v>
      </c>
    </row>
    <row r="28" spans="3:5" x14ac:dyDescent="0.3">
      <c r="C28" t="s">
        <v>68</v>
      </c>
      <c r="D28">
        <f ca="1">IF(ISNUMBER(SEARCH(INDIRECT(CELL("address")),C28)),MAX($D$1:D27)+1,0)</f>
        <v>27</v>
      </c>
      <c r="E28" t="str">
        <f ca="1">IFERROR(INDEX(C28:D71,MATCH(ROWS($E$1:E27),D28:D71,0),1),"")</f>
        <v>666&amp;&amp;22</v>
      </c>
    </row>
    <row r="29" spans="3:5" x14ac:dyDescent="0.3">
      <c r="C29" t="s">
        <v>69</v>
      </c>
      <c r="D29">
        <f ca="1">IF(ISNUMBER(SEARCH(INDIRECT(CELL("address")),C29)),MAX($D$1:D28)+1,0)</f>
        <v>28</v>
      </c>
      <c r="E29" t="str">
        <f ca="1">IFERROR(INDEX(C29:D72,MATCH(ROWS($E$1:E28),D29:D72,0),1),"")</f>
        <v>666&amp;&amp;33</v>
      </c>
    </row>
    <row r="30" spans="3:5" x14ac:dyDescent="0.3">
      <c r="C30" t="s">
        <v>70</v>
      </c>
      <c r="D30">
        <f ca="1">IF(ISNUMBER(SEARCH(INDIRECT(CELL("address")),C30)),MAX($D$1:D29)+1,0)</f>
        <v>29</v>
      </c>
      <c r="E30" t="str">
        <f ca="1">IFERROR(INDEX(C30:D73,MATCH(ROWS($E$1:E29),D30:D73,0),1),"")</f>
        <v>666&amp;&amp;44</v>
      </c>
    </row>
    <row r="31" spans="3:5" x14ac:dyDescent="0.3">
      <c r="C31" t="s">
        <v>71</v>
      </c>
      <c r="D31">
        <f ca="1">IF(ISNUMBER(SEARCH(INDIRECT(CELL("address")),C31)),MAX($D$1:D30)+1,0)</f>
        <v>30</v>
      </c>
      <c r="E31" t="str">
        <f ca="1">IFERROR(INDEX(C31:D74,MATCH(ROWS($E$1:E30),D31:D74,0),1),"")</f>
        <v>666&amp;&amp;55</v>
      </c>
    </row>
    <row r="32" spans="3:5" x14ac:dyDescent="0.3">
      <c r="C32" s="73" t="s">
        <v>76</v>
      </c>
      <c r="D32">
        <f ca="1">IF(ISNUMBER(SEARCH(INDIRECT(CELL("address")),C32)),MAX($D$1:D31)+1,0)</f>
        <v>31</v>
      </c>
      <c r="E32" t="str">
        <f ca="1">IFERROR(INDEX(C32:D75,MATCH(ROWS($E$1:E31),D32:D75,0),1),"")</f>
        <v>12345</v>
      </c>
    </row>
    <row r="33" spans="3:5" x14ac:dyDescent="0.3">
      <c r="C33" s="73" t="s">
        <v>77</v>
      </c>
      <c r="D33">
        <f ca="1">IF(ISNUMBER(SEARCH(INDIRECT(CELL("address")),C33)),MAX($D$1:D32)+1,0)</f>
        <v>32</v>
      </c>
      <c r="E33" t="str">
        <f ca="1">IFERROR(INDEX(C33:D76,MATCH(ROWS($E$1:E32),D33:D76,0),1),"")</f>
        <v>23456</v>
      </c>
    </row>
    <row r="34" spans="3:5" x14ac:dyDescent="0.3">
      <c r="C34" s="73" t="s">
        <v>79</v>
      </c>
      <c r="D34">
        <f ca="1">IF(ISNUMBER(SEARCH(INDIRECT(CELL("address")),C34)),MAX($D$1:D33)+1,0)</f>
        <v>33</v>
      </c>
      <c r="E34" t="str">
        <f ca="1">IFERROR(INDEX(C34:D77,MATCH(ROWS($E$1:E33),D34:D77,0),1),"")</f>
        <v>1111</v>
      </c>
    </row>
    <row r="35" spans="3:5" x14ac:dyDescent="0.3">
      <c r="C35" s="73" t="s">
        <v>80</v>
      </c>
      <c r="D35">
        <f ca="1">IF(ISNUMBER(SEARCH(INDIRECT(CELL("address")),C35)),MAX($D$1:D34)+1,0)</f>
        <v>34</v>
      </c>
      <c r="E35" t="str">
        <f ca="1">IFERROR(INDEX(C35:D78,MATCH(ROWS($E$1:E34),D35:D78,0),1),"")</f>
        <v>2222</v>
      </c>
    </row>
    <row r="36" spans="3:5" x14ac:dyDescent="0.3">
      <c r="C36" s="73" t="s">
        <v>81</v>
      </c>
      <c r="D36">
        <f ca="1">IF(ISNUMBER(SEARCH(INDIRECT(CELL("address")),C36)),MAX($D$1:D35)+1,0)</f>
        <v>35</v>
      </c>
      <c r="E36" t="str">
        <f ca="1">IFERROR(INDEX(C36:D79,MATCH(ROWS($E$1:E35),D36:D79,0),1),"")</f>
        <v>3333</v>
      </c>
    </row>
    <row r="37" spans="3:5" x14ac:dyDescent="0.3">
      <c r="C37" s="73" t="s">
        <v>82</v>
      </c>
      <c r="D37">
        <f ca="1">IF(ISNUMBER(SEARCH(INDIRECT(CELL("address")),C37)),MAX($D$1:D36)+1,0)</f>
        <v>36</v>
      </c>
      <c r="E37" t="str">
        <f ca="1">IFERROR(INDEX(C37:D80,MATCH(ROWS($E$1:E36),D37:D80,0),1),"")</f>
        <v>4444</v>
      </c>
    </row>
    <row r="38" spans="3:5" x14ac:dyDescent="0.3">
      <c r="C38" s="73" t="s">
        <v>83</v>
      </c>
      <c r="D38">
        <f ca="1">IF(ISNUMBER(SEARCH(INDIRECT(CELL("address")),C38)),MAX($D$1:D37)+1,0)</f>
        <v>37</v>
      </c>
      <c r="E38" t="str">
        <f ca="1">IFERROR(INDEX(C38:D81,MATCH(ROWS($E$1:E37),D38:D81,0),1),"")</f>
        <v>5555</v>
      </c>
    </row>
    <row r="39" spans="3:5" x14ac:dyDescent="0.3">
      <c r="C39" s="73" t="s">
        <v>84</v>
      </c>
      <c r="D39">
        <f ca="1">IF(ISNUMBER(SEARCH(INDIRECT(CELL("address")),C39)),MAX($D$1:D38)+1,0)</f>
        <v>38</v>
      </c>
      <c r="E39" t="str">
        <f ca="1">IFERROR(INDEX(C39:D82,MATCH(ROWS($E$1:E38),D39:D82,0),1),"")</f>
        <v>6666</v>
      </c>
    </row>
    <row r="40" spans="3:5" x14ac:dyDescent="0.3">
      <c r="C40" s="73" t="s">
        <v>85</v>
      </c>
      <c r="D40">
        <f ca="1">IF(ISNUMBER(SEARCH(INDIRECT(CELL("address")),C40)),MAX($D$1:D39)+1,0)</f>
        <v>39</v>
      </c>
      <c r="E40" t="str">
        <f ca="1">IFERROR(INDEX(C40:D83,MATCH(ROWS($E$1:E39),D40:D83,0),1),"")</f>
        <v>11111</v>
      </c>
    </row>
    <row r="41" spans="3:5" x14ac:dyDescent="0.3">
      <c r="C41" s="73" t="s">
        <v>86</v>
      </c>
      <c r="D41">
        <f ca="1">IF(ISNUMBER(SEARCH(INDIRECT(CELL("address")),C41)),MAX($D$1:D40)+1,0)</f>
        <v>40</v>
      </c>
      <c r="E41" t="str">
        <f ca="1">IFERROR(INDEX(C41:D84,MATCH(ROWS($E$1:E40),D41:D84,0),1),"")</f>
        <v>22222</v>
      </c>
    </row>
    <row r="42" spans="3:5" x14ac:dyDescent="0.3">
      <c r="C42" s="73" t="s">
        <v>87</v>
      </c>
      <c r="D42">
        <f ca="1">IF(ISNUMBER(SEARCH(INDIRECT(CELL("address")),C42)),MAX($D$1:D41)+1,0)</f>
        <v>41</v>
      </c>
      <c r="E42" t="str">
        <f ca="1">IFERROR(INDEX(C42:D85,MATCH(ROWS($E$1:E41),D42:D85,0),1),"")</f>
        <v>33333</v>
      </c>
    </row>
    <row r="43" spans="3:5" x14ac:dyDescent="0.3">
      <c r="C43" s="73" t="s">
        <v>88</v>
      </c>
      <c r="D43">
        <f ca="1">IF(ISNUMBER(SEARCH(INDIRECT(CELL("address")),C43)),MAX($D$1:D42)+1,0)</f>
        <v>42</v>
      </c>
      <c r="E43" t="str">
        <f ca="1">IFERROR(INDEX(C43:D86,MATCH(ROWS($E$1:E42),D43:D86,0),1),"")</f>
        <v>44444</v>
      </c>
    </row>
    <row r="44" spans="3:5" x14ac:dyDescent="0.3">
      <c r="C44" s="73" t="s">
        <v>89</v>
      </c>
      <c r="D44">
        <f ca="1">IF(ISNUMBER(SEARCH(INDIRECT(CELL("address")),C44)),MAX($D$1:D43)+1,0)</f>
        <v>43</v>
      </c>
      <c r="E44" t="str">
        <f ca="1">IFERROR(INDEX(C44:D87,MATCH(ROWS($E$1:E43),D44:D87,0),1),"")</f>
        <v>55555</v>
      </c>
    </row>
    <row r="45" spans="3:5" x14ac:dyDescent="0.3">
      <c r="C45" s="73" t="s">
        <v>90</v>
      </c>
      <c r="D45">
        <f ca="1">IF(ISNUMBER(SEARCH(INDIRECT(CELL("address")),C45)),MAX($D$1:D44)+1,0)</f>
        <v>44</v>
      </c>
      <c r="E45" t="str">
        <f ca="1">IFERROR(INDEX(C45:D88,MATCH(ROWS($E$1:E44),D45:D88,0),1),"")</f>
        <v>66666</v>
      </c>
    </row>
  </sheetData>
  <dataValidations count="1">
    <dataValidation type="list" allowBlank="1" showInputMessage="1" sqref="F2 A1">
      <formula1>MyList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Sheet1</vt:lpstr>
      <vt:lpstr>Sheet2</vt:lpstr>
      <vt:lpstr>Sheet3</vt:lpstr>
      <vt:lpstr>Sheet4</vt:lpstr>
      <vt:lpstr>Care</vt:lpstr>
      <vt:lpstr>Ful</vt:lpstr>
      <vt:lpstr>Jocuri</vt:lpstr>
      <vt:lpstr>myActualList</vt:lpstr>
      <vt:lpstr>QuintaMare</vt:lpstr>
      <vt:lpstr>QuintaMica</vt:lpstr>
      <vt:lpstr>Yamms</vt:lpstr>
      <vt:lpstr>zar1</vt:lpstr>
      <vt:lpstr>Zare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2020-08-10T14:27:15Z</dcterms:modified>
</cp:coreProperties>
</file>